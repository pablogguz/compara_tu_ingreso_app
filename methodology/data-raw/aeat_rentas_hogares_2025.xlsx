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9055 - SETE\Presupuestacion\Basedatos\C_Internet\Recaudación\Informe_anual\IAR_2025\Pub\"/>
    </mc:Choice>
  </mc:AlternateContent>
  <xr:revisionPtr revIDLastSave="0" documentId="8_{17C32399-94FD-4D35-8849-2CC62BFA82CB}" xr6:coauthVersionLast="47" xr6:coauthVersionMax="47" xr10:uidLastSave="{00000000-0000-0000-0000-000000000000}"/>
  <bookViews>
    <workbookView xWindow="-120" yWindow="-120" windowWidth="29040" windowHeight="15840" xr2:uid="{8E8C819F-6F73-4E2B-BC34-4F9EBB29DCC8}"/>
  </bookViews>
  <sheets>
    <sheet name="2.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Regression_Out" localSheetId="0" hidden="1">[1]Hoja1!#REF!</definedName>
    <definedName name="_Regression_Out" hidden="1">[1]Hoja1!#REF!</definedName>
    <definedName name="_so1" hidden="1">"'ee3a7291-3156-4ad4-b91b-d88d177c3125'"</definedName>
    <definedName name="a" hidden="1">[1]Hoja1!#REF!</definedName>
    <definedName name="_xlnm.Print_Area" localSheetId="0">'2.1'!$B$1:$BM$61</definedName>
    <definedName name="_xlnm.Print_Area">#REF!</definedName>
    <definedName name="_xlnm.Database" localSheetId="0">#REF!</definedName>
    <definedName name="_xlnm.Database">#REF!</definedName>
    <definedName name="_xlnm.Criteria">#REF!</definedName>
    <definedName name="d">#REF!</definedName>
    <definedName name="dddddf">'[3]cuadro 2.3'!$B$1:$W$57</definedName>
    <definedName name="DOS" localSheetId="0">#REF!</definedName>
    <definedName name="DOS">#REF!</definedName>
    <definedName name="est2d99">'[4]#¡REF'!$B$5:$IV$1138</definedName>
    <definedName name="est2dap">'[4]#¡REF'!$B$5:$FL$1138</definedName>
    <definedName name="est2i99">'[4]#¡REF'!$B$5:$IV$1138</definedName>
    <definedName name="GGG">'[3]cuadro 2.3'!$B$1:$W$57</definedName>
    <definedName name="GGGG">'[3]cuadro 2.3'!$B$1:$W$57</definedName>
    <definedName name="Indice" localSheetId="0">#REF!</definedName>
    <definedName name="Indice">#REF!</definedName>
    <definedName name="Inicio6" localSheetId="0">'[5]INGRESOS TRIBUTARIOS (detalle)'!#REF!</definedName>
    <definedName name="Inicio6">'[5]INGRESOS TRIBUTARIOS (detalle)'!#REF!</definedName>
    <definedName name="Inicio7" localSheetId="0">#REF!</definedName>
    <definedName name="Inicio7">#REF!</definedName>
    <definedName name="Inicio8" localSheetId="0">#REF!</definedName>
    <definedName name="Inicio8">#REF!</definedName>
    <definedName name="PRIMERA" localSheetId="0">#REF!</definedName>
    <definedName name="PRIMERA">#REF!</definedName>
    <definedName name="s" localSheetId="0">#REF!</definedName>
    <definedName name="s">#REF!</definedName>
    <definedName name="SEPTIEMBRE" localSheetId="0">#REF!</definedName>
    <definedName name="SEPTIEMBRE">#REF!</definedName>
    <definedName name="UNO" localSheetId="0">#REF!</definedName>
    <definedName name="U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<sst xmlns="http://schemas.openxmlformats.org/spreadsheetml/2006/main" count="91" uniqueCount="67">
  <si>
    <t xml:space="preserve">     Antes de 2005 estos conceptos incluían los ingresos por actas; desde 2005 esos ingresos se agrupan bajo la rúbrica de Liquidaciones practicadas por la Administración. </t>
  </si>
  <si>
    <t xml:space="preserve">     El principal cambio afecta a las retenciones sobre el trabajo, las retenciones sobre el capital y la cuota bruta.</t>
  </si>
  <si>
    <t xml:space="preserve">(3) De 1995 a 2004, los datos corresponden a una clasificación de conceptos distinta a la utilizada desde 2005. </t>
  </si>
  <si>
    <t>(2) Incluye otros conceptos no desglosados.</t>
  </si>
  <si>
    <t>(1) Deducciones anticipadas y no anticipadas por maternidad, familia numerosa y dependencia.</t>
  </si>
  <si>
    <t>(p) Datos provisionales (sombreados en azul).</t>
  </si>
  <si>
    <t>-</t>
  </si>
  <si>
    <t>Asignación tributaria a la Iglesia Católica</t>
  </si>
  <si>
    <t>Liquidaciones practicadas por la Administración</t>
  </si>
  <si>
    <t>Devoluciones de resultado de la declaración anual</t>
  </si>
  <si>
    <t>Resultado de la declaración anual</t>
  </si>
  <si>
    <t>Gravamen sobre loterías</t>
  </si>
  <si>
    <t>Pagos fraccionados</t>
  </si>
  <si>
    <t>Retenciones sobre fondos de inversión</t>
  </si>
  <si>
    <t>Retenciones sobre arrendamientos</t>
  </si>
  <si>
    <t>Retenciones sobre rentas del capital mobiliario</t>
  </si>
  <si>
    <t>Retenciones sobre rentas del trabajo y actividades económicas</t>
  </si>
  <si>
    <t xml:space="preserve">   . Sin resultado de la declaración anual</t>
  </si>
  <si>
    <t>Ingresos tributarios (C;2;3)</t>
  </si>
  <si>
    <t>Paso a caja (C-D)</t>
  </si>
  <si>
    <t>Deducciones familiares (1)</t>
  </si>
  <si>
    <t>Retenc. por transparencia fiscal, atribución de rentas y otras</t>
  </si>
  <si>
    <t xml:space="preserve">   Actividades económicas</t>
  </si>
  <si>
    <t xml:space="preserve">   Pagos fraccionados</t>
  </si>
  <si>
    <t>Retenciones a la empresa</t>
  </si>
  <si>
    <t xml:space="preserve">   Fondos de inversión</t>
  </si>
  <si>
    <t xml:space="preserve">   Arrendamientos</t>
  </si>
  <si>
    <t xml:space="preserve">   Capital mobiliario</t>
  </si>
  <si>
    <t xml:space="preserve">Retenciones del capital </t>
  </si>
  <si>
    <t>Retenciones del trabajo</t>
  </si>
  <si>
    <t xml:space="preserve">   . Sin resultado de la declaración anual ni deducciones</t>
  </si>
  <si>
    <t>IRPF devengado (D)</t>
  </si>
  <si>
    <t xml:space="preserve">   . Sin resultado de la declaración ni deducciones</t>
  </si>
  <si>
    <t>Tipo efectivo</t>
  </si>
  <si>
    <t xml:space="preserve">   Imputación de rentas y otras</t>
  </si>
  <si>
    <t xml:space="preserve">   Rentas de la empresa</t>
  </si>
  <si>
    <t>Rentas de la empresa y otras</t>
  </si>
  <si>
    <t xml:space="preserve">      . Sujetas a retención (fondos de inversión)</t>
  </si>
  <si>
    <t xml:space="preserve">   Ganancias patrimoniales</t>
  </si>
  <si>
    <t xml:space="preserve">      . Sujetas a retención</t>
  </si>
  <si>
    <t xml:space="preserve">   Inmuebles arrendados</t>
  </si>
  <si>
    <t>Rentas del capital</t>
  </si>
  <si>
    <t>Rentas del trabajo</t>
  </si>
  <si>
    <t>Rentas brutas de los hogares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</si>
  <si>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</si>
  <si>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</si>
  <si>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</si>
  <si>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</si>
  <si>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</si>
  <si>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</si>
  <si>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</si>
  <si>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</si>
  <si>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</si>
  <si>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</si>
  <si>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</si>
  <si>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</si>
  <si>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00</t>
  </si>
  <si>
    <t>99</t>
  </si>
  <si>
    <t>98</t>
  </si>
  <si>
    <t>97</t>
  </si>
  <si>
    <t>96</t>
  </si>
  <si>
    <t>2025 (p)</t>
  </si>
  <si>
    <t>2024 (p)</t>
  </si>
  <si>
    <t>tasas de variación (%)</t>
  </si>
  <si>
    <t>Millones de euros, salvo indicación</t>
  </si>
  <si>
    <t>RENTAS DE LOS HOGARES E IRPF</t>
  </si>
  <si>
    <t>CUADRO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</si>
</sst>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00"/>
    <numFmt numFmtId="166" formatCode="#,##0.0"/>
    <numFmt numFmtId="167" formatCode="0.0000"/>
    <numFmt numFmtId="168" formatCode="0.0"/>
  </numFmts>
  <fonts count="15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9"/>
      <name val="Verdana"/>
      <family val="2"/>
    </font>
    <font>
      <sz val="11"/>
      <color theme="1"/>
      <name val="Verdana"/>
      <family val="2"/>
    </font>
    <font>
      <sz val="9"/>
      <color theme="1"/>
      <name val="Aptos Narrow"/>
      <family val="2"/>
      <scheme val="minor"/>
    </font>
    <font>
      <sz val="9"/>
      <color theme="1"/>
      <name val="Verdana"/>
      <family val="2"/>
    </font>
    <font>
      <sz val="8"/>
      <name val="Verdana"/>
      <family val="2"/>
    </font>
    <font>
      <i/>
      <sz val="9"/>
      <name val="Verdana"/>
      <family val="2"/>
    </font>
    <font>
      <b/>
      <sz val="9"/>
      <name val="Verdana"/>
      <family val="2"/>
    </font>
    <font>
      <sz val="9"/>
      <color rgb="FF3F3F76"/>
      <name val="Verdana"/>
      <family val="2"/>
    </font>
    <font>
      <b/>
      <sz val="1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</cellStyleXfs>
  <cellXfs count="66">
    <xf numFmtId="0" fontId="0" fillId="0" borderId="0" xfId="0"/>
    <xf numFmtId="0" fontId="3" fillId="0" borderId="0" xfId="2" applyFont="1"/>
    <xf numFmtId="0" fontId="4" fillId="0" borderId="0" xfId="2" applyFont="1"/>
    <xf numFmtId="164" fontId="4" fillId="0" borderId="0" xfId="2" quotePrefix="1" applyNumberFormat="1" applyFont="1" applyAlignment="1">
      <alignment horizontal="right"/>
    </xf>
    <xf numFmtId="165" fontId="4" fillId="0" borderId="0" xfId="2" quotePrefix="1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164" fontId="3" fillId="0" borderId="0" xfId="2" quotePrefix="1" applyNumberFormat="1" applyFont="1" applyAlignment="1">
      <alignment horizontal="right"/>
    </xf>
    <xf numFmtId="3" fontId="3" fillId="0" borderId="0" xfId="2" quotePrefix="1" applyNumberFormat="1" applyFont="1" applyAlignment="1">
      <alignment horizontal="right"/>
    </xf>
    <xf numFmtId="0" fontId="8" fillId="0" borderId="0" xfId="3" quotePrefix="1" applyFont="1" applyAlignment="1">
      <alignment horizontal="left"/>
    </xf>
    <xf numFmtId="0" fontId="4" fillId="0" borderId="0" xfId="2" applyFont="1" applyAlignment="1">
      <alignment horizontal="right"/>
    </xf>
    <xf numFmtId="166" fontId="4" fillId="0" borderId="0" xfId="2" applyNumberFormat="1" applyFont="1" applyAlignment="1">
      <alignment horizontal="right"/>
    </xf>
    <xf numFmtId="0" fontId="4" fillId="0" borderId="2" xfId="2" applyFont="1" applyBorder="1" applyAlignment="1">
      <alignment horizontal="right"/>
    </xf>
    <xf numFmtId="0" fontId="4" fillId="0" borderId="2" xfId="2" applyFont="1" applyBorder="1"/>
    <xf numFmtId="0" fontId="2" fillId="0" borderId="0" xfId="2"/>
    <xf numFmtId="3" fontId="4" fillId="0" borderId="0" xfId="2" applyNumberFormat="1" applyFont="1"/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2" fillId="0" borderId="0" xfId="2" applyNumberFormat="1"/>
    <xf numFmtId="166" fontId="10" fillId="0" borderId="0" xfId="2" applyNumberFormat="1" applyFont="1" applyAlignment="1">
      <alignment horizontal="right"/>
    </xf>
    <xf numFmtId="3" fontId="10" fillId="0" borderId="0" xfId="2" applyNumberFormat="1" applyFont="1"/>
    <xf numFmtId="0" fontId="10" fillId="0" borderId="0" xfId="0" applyFont="1" applyAlignment="1">
      <alignment horizontal="left"/>
    </xf>
    <xf numFmtId="0" fontId="1" fillId="0" borderId="0" xfId="1" applyFill="1" applyBorder="1"/>
    <xf numFmtId="0" fontId="11" fillId="0" borderId="0" xfId="1" applyFont="1" applyFill="1" applyBorder="1"/>
    <xf numFmtId="3" fontId="4" fillId="3" borderId="0" xfId="2" applyNumberFormat="1" applyFont="1" applyFill="1"/>
    <xf numFmtId="167" fontId="4" fillId="0" borderId="0" xfId="2" applyNumberFormat="1" applyFont="1"/>
    <xf numFmtId="3" fontId="10" fillId="3" borderId="0" xfId="2" applyNumberFormat="1" applyFont="1" applyFill="1"/>
    <xf numFmtId="4" fontId="4" fillId="3" borderId="0" xfId="2" applyNumberFormat="1" applyFont="1" applyFill="1"/>
    <xf numFmtId="4" fontId="4" fillId="0" borderId="0" xfId="2" applyNumberFormat="1" applyFont="1"/>
    <xf numFmtId="4" fontId="10" fillId="3" borderId="0" xfId="2" applyNumberFormat="1" applyFont="1" applyFill="1"/>
    <xf numFmtId="4" fontId="10" fillId="0" borderId="0" xfId="2" applyNumberFormat="1" applyFont="1"/>
    <xf numFmtId="0" fontId="10" fillId="0" borderId="0" xfId="0" quotePrefix="1" applyFont="1" applyAlignment="1">
      <alignment horizontal="left"/>
    </xf>
    <xf numFmtId="168" fontId="2" fillId="0" borderId="0" xfId="2" applyNumberFormat="1"/>
    <xf numFmtId="0" fontId="10" fillId="0" borderId="0" xfId="2" applyFont="1" applyAlignment="1">
      <alignment horizontal="center"/>
    </xf>
    <xf numFmtId="0" fontId="3" fillId="0" borderId="2" xfId="2" applyFont="1" applyBorder="1"/>
    <xf numFmtId="0" fontId="10" fillId="0" borderId="2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0" fillId="0" borderId="4" xfId="2" quotePrefix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0" fontId="10" fillId="0" borderId="6" xfId="2" quotePrefix="1" applyFont="1" applyBorder="1" applyAlignment="1">
      <alignment horizontal="center" vertical="center"/>
    </xf>
    <xf numFmtId="0" fontId="10" fillId="0" borderId="7" xfId="2" quotePrefix="1" applyFont="1" applyBorder="1" applyAlignment="1">
      <alignment horizontal="center" vertical="center"/>
    </xf>
    <xf numFmtId="0" fontId="10" fillId="0" borderId="8" xfId="2" quotePrefix="1" applyFont="1" applyBorder="1" applyAlignment="1">
      <alignment horizontal="center" vertical="center"/>
    </xf>
    <xf numFmtId="0" fontId="10" fillId="0" borderId="9" xfId="2" quotePrefix="1" applyFont="1" applyBorder="1" applyAlignment="1">
      <alignment horizontal="center" vertical="center"/>
    </xf>
    <xf numFmtId="0" fontId="10" fillId="0" borderId="10" xfId="2" quotePrefix="1" applyFont="1" applyBorder="1" applyAlignment="1">
      <alignment horizontal="center" vertical="center"/>
    </xf>
    <xf numFmtId="0" fontId="3" fillId="0" borderId="11" xfId="2" applyFont="1" applyBorder="1"/>
    <xf numFmtId="0" fontId="10" fillId="0" borderId="12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4" xfId="2" quotePrefix="1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3" fillId="0" borderId="16" xfId="2" applyFont="1" applyBorder="1"/>
    <xf numFmtId="0" fontId="10" fillId="0" borderId="12" xfId="2" applyFont="1" applyBorder="1" applyAlignment="1">
      <alignment horizontal="center"/>
    </xf>
    <xf numFmtId="0" fontId="10" fillId="0" borderId="15" xfId="2" applyFont="1" applyBorder="1" applyAlignment="1">
      <alignment horizontal="center"/>
    </xf>
    <xf numFmtId="0" fontId="10" fillId="0" borderId="17" xfId="2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0" fillId="0" borderId="18" xfId="2" applyFont="1" applyBorder="1"/>
    <xf numFmtId="0" fontId="10" fillId="0" borderId="19" xfId="2" applyFont="1" applyBorder="1"/>
    <xf numFmtId="0" fontId="3" fillId="0" borderId="20" xfId="2" applyFont="1" applyBorder="1"/>
    <xf numFmtId="0" fontId="10" fillId="0" borderId="0" xfId="2" applyFont="1" applyAlignment="1">
      <alignment horizontal="center" vertical="center"/>
    </xf>
    <xf numFmtId="165" fontId="3" fillId="0" borderId="0" xfId="2" applyNumberFormat="1" applyFont="1"/>
    <xf numFmtId="0" fontId="13" fillId="0" borderId="0" xfId="2" applyFont="1" applyAlignment="1">
      <alignment horizontal="left"/>
    </xf>
    <xf numFmtId="164" fontId="3" fillId="0" borderId="0" xfId="2" applyNumberFormat="1" applyFont="1"/>
    <xf numFmtId="0" fontId="14" fillId="0" borderId="0" xfId="0" applyFont="1" applyAlignment="1">
      <alignment horizontal="left"/>
    </xf>
    <xf numFmtId="0" fontId="14" fillId="0" borderId="0" xfId="2" quotePrefix="1" applyFont="1" applyAlignment="1">
      <alignment horizontal="left"/>
    </xf>
  </cellXfs>
  <cellStyles count="4">
    <cellStyle name="Entrada" xfId="1" builtinId="20"/>
    <cellStyle name="Normal" xfId="0" builtinId="0"/>
    <cellStyle name="Normal 2" xfId="2" xr:uid="{7E9FB848-B82C-4EC5-9DF4-67CABB666968}"/>
    <cellStyle name="Normal 3" xfId="3" xr:uid="{CCBB86A8-1F45-44AD-94B5-5DD480AE85CB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RETK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9055%20-%20SETE\Presupuestacion\Basedatos\C_Internet\Recaudaci&#243;n\Informe_anual\IAR_2025\Cuadros_IART25.xlsx" TargetMode="External"/><Relationship Id="rId1" Type="http://schemas.openxmlformats.org/officeDocument/2006/relationships/externalLinkPath" Target="/9055%20-%20SETE/Presupuestacion/Basedatos/C_Internet/Recaudaci&#243;n/Informe_anual/IAR_2025/Cuadros_IART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CUADROS\cuadros%20rent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BUEI\DIT\web\Estad&#237;stica%20de%20Sociedades\1999\comunidades\grandes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aud10\SSCAUD10_RECURSOS\DATOS\Presupuestaci&#243;n\Gesti&#243;n\Aplicaciones\CUadroMAtriz_NEW\CabecerasExcel\CabecerasSerieHistor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RETK"/>
      <sheetName val="MM12"/>
      <sheetName val="Datos"/>
      <sheetName val="#¡REF"/>
      <sheetName val="G34"/>
      <sheetName val="Grafico recursos old"/>
      <sheetName val="Grafico recurs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0"/>
      <sheetName val="1.1"/>
      <sheetName val="1.2"/>
      <sheetName val="1.3"/>
      <sheetName val="1.4"/>
      <sheetName val="1.5"/>
      <sheetName val="1.6"/>
      <sheetName val="1.7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4.1"/>
      <sheetName val="4.2"/>
      <sheetName val="5.1"/>
      <sheetName val="5.2"/>
      <sheetName val="5.3"/>
      <sheetName val="5.4"/>
      <sheetName val="5.5"/>
      <sheetName val="5.6"/>
      <sheetName val="5.7"/>
      <sheetName val="5.8"/>
      <sheetName val="6.1"/>
      <sheetName val="6.2"/>
      <sheetName val="6.3"/>
      <sheetName val="6.4"/>
      <sheetName val="6.5"/>
      <sheetName val="6.6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9.1"/>
      <sheetName val="9.2"/>
      <sheetName val="9.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enciones"/>
      <sheetName val="series"/>
      <sheetName val="otros indicadores"/>
      <sheetName val="cuadro 2.3"/>
      <sheetName val="series C2.8"/>
      <sheetName val="cuadro 2.8"/>
      <sheetName val="Gráfico1"/>
      <sheetName val="Gráfico2"/>
      <sheetName val="Gráfico3"/>
      <sheetName val="Gráfico4"/>
      <sheetName val="Gráfico5"/>
      <sheetName val="series C2.3"/>
      <sheetName val="series C2.4"/>
      <sheetName val="cuadro 2.4"/>
      <sheetName val="cuadro 2.5"/>
      <sheetName val="cuadro 2.5 (2)"/>
      <sheetName val="datagraf"/>
      <sheetName val="G34"/>
    </sheetNames>
    <sheetDataSet>
      <sheetData sheetId="0"/>
      <sheetData sheetId="1"/>
      <sheetData sheetId="2"/>
      <sheetData sheetId="3">
        <row r="1">
          <cell r="B1" t="str">
            <v>Cuadro 2.3</v>
          </cell>
        </row>
        <row r="2">
          <cell r="B2" t="str">
            <v>EVOLUCIÓN RECIENTE DE LAS RETRIBUCIONES Y RETENCIONES DEL TRABAJO. Territorio de Régimen Fiscal Común.</v>
          </cell>
        </row>
        <row r="3">
          <cell r="B3" t="str">
            <v>Territorio de Régimen Fiscal Común</v>
          </cell>
        </row>
        <row r="4">
          <cell r="C4">
            <v>2000</v>
          </cell>
          <cell r="E4" t="str">
            <v>tasas de variación anual (*)</v>
          </cell>
        </row>
        <row r="5">
          <cell r="C5">
            <v>1997</v>
          </cell>
          <cell r="D5">
            <v>1998</v>
          </cell>
          <cell r="E5" t="str">
            <v>I-99</v>
          </cell>
          <cell r="F5" t="str">
            <v>II-99</v>
          </cell>
          <cell r="G5" t="str">
            <v xml:space="preserve"> III-99</v>
          </cell>
          <cell r="H5" t="str">
            <v xml:space="preserve"> IV-99</v>
          </cell>
          <cell r="I5" t="str">
            <v>I-00</v>
          </cell>
          <cell r="J5" t="str">
            <v>II-00</v>
          </cell>
          <cell r="K5" t="str">
            <v xml:space="preserve"> III-00</v>
          </cell>
          <cell r="L5" t="str">
            <v xml:space="preserve"> IV-00</v>
          </cell>
          <cell r="M5" t="str">
            <v>I-01</v>
          </cell>
          <cell r="N5" t="str">
            <v>II-01</v>
          </cell>
          <cell r="O5" t="str">
            <v xml:space="preserve"> III-01</v>
          </cell>
          <cell r="Q5">
            <v>1998</v>
          </cell>
          <cell r="R5">
            <v>1999</v>
          </cell>
          <cell r="S5">
            <v>2000</v>
          </cell>
          <cell r="T5">
            <v>2000</v>
          </cell>
          <cell r="U5">
            <v>2001</v>
          </cell>
        </row>
        <row r="6">
          <cell r="H6" t="str">
            <v>I-98</v>
          </cell>
          <cell r="I6" t="str">
            <v>II-98</v>
          </cell>
          <cell r="J6" t="str">
            <v>III-98</v>
          </cell>
          <cell r="K6" t="str">
            <v>IV-98</v>
          </cell>
          <cell r="L6" t="str">
            <v>I-99</v>
          </cell>
          <cell r="M6" t="str">
            <v>II-99</v>
          </cell>
          <cell r="N6" t="str">
            <v>III-99</v>
          </cell>
          <cell r="O6" t="str">
            <v>IV-99</v>
          </cell>
          <cell r="P6" t="str">
            <v>I-00</v>
          </cell>
          <cell r="Q6" t="str">
            <v>II-00</v>
          </cell>
          <cell r="R6" t="str">
            <v>III-00</v>
          </cell>
          <cell r="S6" t="str">
            <v>IV-00</v>
          </cell>
          <cell r="U6">
            <v>1998</v>
          </cell>
          <cell r="V6">
            <v>1999</v>
          </cell>
          <cell r="W6" t="str">
            <v>Ene-jun 2000</v>
          </cell>
        </row>
        <row r="8">
          <cell r="B8" t="str">
            <v>RETRIBUCIONES (millardos de pesetas)</v>
          </cell>
        </row>
        <row r="9">
          <cell r="B9" t="str">
            <v>TOTAL</v>
          </cell>
          <cell r="C9">
            <v>50265.445431283282</v>
          </cell>
          <cell r="E9">
            <v>9.917785269291457</v>
          </cell>
          <cell r="F9">
            <v>7.0971653560034431</v>
          </cell>
          <cell r="G9">
            <v>6.825934685792423</v>
          </cell>
          <cell r="H9">
            <v>9.9924408542220853</v>
          </cell>
          <cell r="I9">
            <v>9.9670075882619447</v>
          </cell>
          <cell r="J9">
            <v>8.725488545347293</v>
          </cell>
          <cell r="K9">
            <v>8.8935839874983778</v>
          </cell>
          <cell r="L9">
            <v>6.9458455360928539</v>
          </cell>
          <cell r="M9">
            <v>9.057319607536396</v>
          </cell>
          <cell r="N9">
            <v>9.3639503122142855</v>
          </cell>
          <cell r="O9">
            <v>8.996285066785914</v>
          </cell>
          <cell r="Q9">
            <v>7.0605395489736322</v>
          </cell>
          <cell r="R9">
            <v>8.4949634060851764</v>
          </cell>
          <cell r="S9">
            <v>8.5200431090151962</v>
          </cell>
          <cell r="T9">
            <v>8.5200431090151962</v>
          </cell>
          <cell r="U9">
            <v>9.1409218383121207</v>
          </cell>
        </row>
        <row r="10">
          <cell r="B10" t="str">
            <v>. Mercantil (1)</v>
          </cell>
          <cell r="C10">
            <v>34169.559642193912</v>
          </cell>
          <cell r="D10">
            <v>10634.056219081127</v>
          </cell>
          <cell r="E10">
            <v>12.832390081838142</v>
          </cell>
          <cell r="F10">
            <v>8.3917304476760499</v>
          </cell>
          <cell r="G10">
            <v>8.4864470029622829</v>
          </cell>
          <cell r="H10">
            <v>12.096552383379322</v>
          </cell>
          <cell r="I10">
            <v>10.761438789274358</v>
          </cell>
          <cell r="J10">
            <v>10.306833677473604</v>
          </cell>
          <cell r="K10">
            <v>9.9534090661601127</v>
          </cell>
          <cell r="L10">
            <v>6.9409887466520992</v>
          </cell>
          <cell r="M10">
            <v>10.478415244904893</v>
          </cell>
          <cell r="N10">
            <v>10.028931944614428</v>
          </cell>
          <cell r="O10">
            <v>9.8189836824209351</v>
          </cell>
          <cell r="P10">
            <v>6.1594603659202329</v>
          </cell>
          <cell r="Q10">
            <v>8.3913650772386994</v>
          </cell>
          <cell r="R10">
            <v>10.49384010082326</v>
          </cell>
          <cell r="S10">
            <v>9.3194272142375532</v>
          </cell>
          <cell r="T10">
            <v>9.3194272142375532</v>
          </cell>
          <cell r="U10">
            <v>10.105639441984216</v>
          </cell>
          <cell r="V10">
            <v>5.6664176662280159</v>
          </cell>
          <cell r="W10">
            <v>5.9768672753114149</v>
          </cell>
        </row>
        <row r="11">
          <cell r="B11" t="str">
            <v>. No mercantil (2)</v>
          </cell>
          <cell r="C11">
            <v>16095.885789089371</v>
          </cell>
          <cell r="D11">
            <v>8603.5</v>
          </cell>
          <cell r="E11">
            <v>4.1214177193382273</v>
          </cell>
          <cell r="F11">
            <v>4.487907005997438</v>
          </cell>
          <cell r="G11">
            <v>3.8633751095713986</v>
          </cell>
          <cell r="H11">
            <v>5.6435319522260663</v>
          </cell>
          <cell r="I11">
            <v>8.254918945900469</v>
          </cell>
          <cell r="J11">
            <v>5.4191297819102591</v>
          </cell>
          <cell r="K11">
            <v>6.9185606211409789</v>
          </cell>
          <cell r="L11">
            <v>6.9564970214188282</v>
          </cell>
          <cell r="M11">
            <v>5.9237870652631974</v>
          </cell>
          <cell r="N11">
            <v>7.9091079072237447</v>
          </cell>
          <cell r="O11">
            <v>7.419638286855923</v>
          </cell>
          <cell r="P11">
            <v>7.1005476604860451</v>
          </cell>
          <cell r="Q11">
            <v>4.5398340355854661</v>
          </cell>
          <cell r="R11">
            <v>4.5694192008122636</v>
          </cell>
          <cell r="S11">
            <v>6.8612097981366471</v>
          </cell>
          <cell r="T11">
            <v>6.8612097981366471</v>
          </cell>
          <cell r="U11">
            <v>7.119668051880379</v>
          </cell>
          <cell r="V11">
            <v>6.5717440576509523</v>
          </cell>
          <cell r="W11">
            <v>6.8761313192263307</v>
          </cell>
        </row>
        <row r="12">
          <cell r="B12" t="str">
            <v>Salarios</v>
          </cell>
          <cell r="C12">
            <v>34586.685345399921</v>
          </cell>
          <cell r="D12">
            <v>2030.5562190811277</v>
          </cell>
          <cell r="E12">
            <v>11.824341621360368</v>
          </cell>
          <cell r="F12">
            <v>8.8191240959393902</v>
          </cell>
          <cell r="G12">
            <v>8.4173298400100016</v>
          </cell>
          <cell r="H12">
            <v>12.632701915801437</v>
          </cell>
          <cell r="I12">
            <v>10.942290189998838</v>
          </cell>
          <cell r="J12">
            <v>10.049434907330657</v>
          </cell>
          <cell r="K12">
            <v>9.8675128506953147</v>
          </cell>
          <cell r="L12">
            <v>7.2578954526056227</v>
          </cell>
          <cell r="M12">
            <v>10.92960207555651</v>
          </cell>
          <cell r="N12">
            <v>10.24001404294248</v>
          </cell>
          <cell r="O12">
            <v>9.889402484006693</v>
          </cell>
          <cell r="P12">
            <v>2.094518084960284</v>
          </cell>
          <cell r="Q12">
            <v>8.2716542852348862</v>
          </cell>
          <cell r="R12">
            <v>10.495191200018228</v>
          </cell>
          <cell r="S12">
            <v>9.3738981483407322</v>
          </cell>
          <cell r="T12">
            <v>9.3738981483407322</v>
          </cell>
          <cell r="U12">
            <v>10.342479533896398</v>
          </cell>
          <cell r="V12">
            <v>1.8305348990263419</v>
          </cell>
          <cell r="W12">
            <v>2.0360708002498562</v>
          </cell>
        </row>
        <row r="13">
          <cell r="B13" t="str">
            <v xml:space="preserve">  Sector privado (3)</v>
          </cell>
          <cell r="C13">
            <v>29548.234642193915</v>
          </cell>
          <cell r="D13">
            <v>834.52547307590692</v>
          </cell>
          <cell r="E13">
            <v>13.161217504856392</v>
          </cell>
          <cell r="F13">
            <v>9.5869816184539047</v>
          </cell>
          <cell r="G13">
            <v>9.5865954768244102</v>
          </cell>
          <cell r="H13">
            <v>13.698656566828715</v>
          </cell>
          <cell r="I13">
            <v>11.911091773531069</v>
          </cell>
          <cell r="J13">
            <v>11.426446873495099</v>
          </cell>
          <cell r="K13">
            <v>10.609930779173693</v>
          </cell>
          <cell r="L13">
            <v>7.6569165569595699</v>
          </cell>
          <cell r="M13">
            <v>11.744747919544029</v>
          </cell>
          <cell r="N13">
            <v>11.068370121718241</v>
          </cell>
          <cell r="O13">
            <v>10.762981763669966</v>
          </cell>
          <cell r="P13">
            <v>-5.8380799532326773</v>
          </cell>
          <cell r="Q13">
            <v>8.9855294903020688</v>
          </cell>
          <cell r="R13">
            <v>11.581450955819438</v>
          </cell>
          <cell r="S13">
            <v>10.211765967086572</v>
          </cell>
          <cell r="T13">
            <v>10.211765967086572</v>
          </cell>
          <cell r="U13">
            <v>11.182586365780555</v>
          </cell>
          <cell r="V13">
            <v>-1.9729106825971323</v>
          </cell>
          <cell r="W13">
            <v>-5.8441659034471076</v>
          </cell>
        </row>
        <row r="14">
          <cell r="B14" t="str">
            <v xml:space="preserve">  . Grandes Empresas</v>
          </cell>
          <cell r="C14">
            <v>15119.511</v>
          </cell>
          <cell r="D14">
            <v>1196.0307460052206</v>
          </cell>
          <cell r="E14">
            <v>11.307328590516729</v>
          </cell>
          <cell r="F14">
            <v>6.8953619230070817</v>
          </cell>
          <cell r="G14">
            <v>8.6182796035534146</v>
          </cell>
          <cell r="H14">
            <v>10.457942016114297</v>
          </cell>
          <cell r="I14">
            <v>20.012938289448702</v>
          </cell>
          <cell r="J14">
            <v>17.456658150921612</v>
          </cell>
          <cell r="K14">
            <v>15.182438694103562</v>
          </cell>
          <cell r="L14">
            <v>12.439451661107048</v>
          </cell>
          <cell r="M14">
            <v>13.180534969882901</v>
          </cell>
          <cell r="N14">
            <v>13.471436309942</v>
          </cell>
          <cell r="O14">
            <v>11.565807585219314</v>
          </cell>
          <cell r="P14">
            <v>7.5550348374147092</v>
          </cell>
          <cell r="Q14">
            <v>12.506192656566606</v>
          </cell>
          <cell r="R14">
            <v>9.3171277019116658</v>
          </cell>
          <cell r="S14">
            <v>16.050298378651217</v>
          </cell>
          <cell r="T14">
            <v>16.050298378651217</v>
          </cell>
          <cell r="U14">
            <v>12.742897481670257</v>
          </cell>
          <cell r="V14">
            <v>4.4843732170832302</v>
          </cell>
          <cell r="W14">
            <v>7.4313433628656833</v>
          </cell>
        </row>
        <row r="15">
          <cell r="B15" t="str">
            <v xml:space="preserve">  . PYMEs (3)</v>
          </cell>
          <cell r="C15">
            <v>14428.723642193914</v>
          </cell>
          <cell r="D15">
            <v>221.83849942503812</v>
          </cell>
          <cell r="E15">
            <v>15.069059380400219</v>
          </cell>
          <cell r="F15">
            <v>12.268374078929533</v>
          </cell>
          <cell r="G15">
            <v>10.568650751274799</v>
          </cell>
          <cell r="H15">
            <v>16.678472664137843</v>
          </cell>
          <cell r="I15">
            <v>3.846026667690583</v>
          </cell>
          <cell r="J15">
            <v>5.7066495005335005</v>
          </cell>
          <cell r="K15">
            <v>6.0543447018285068</v>
          </cell>
          <cell r="L15">
            <v>3.4938528084841103</v>
          </cell>
          <cell r="M15">
            <v>10.092968378749006</v>
          </cell>
          <cell r="N15">
            <v>8.5356384519446529</v>
          </cell>
          <cell r="O15">
            <v>9.894283550901477</v>
          </cell>
          <cell r="P15">
            <v>3.2415263265302086</v>
          </cell>
          <cell r="Q15">
            <v>5.729304177968908</v>
          </cell>
          <cell r="R15">
            <v>13.809934604478013</v>
          </cell>
          <cell r="S15">
            <v>4.6924817474329084</v>
          </cell>
          <cell r="T15">
            <v>4.6924817474329084</v>
          </cell>
          <cell r="U15">
            <v>9.476519288065365</v>
          </cell>
          <cell r="V15">
            <v>2.9448641174629997</v>
          </cell>
          <cell r="W15">
            <v>3.1209970060472436</v>
          </cell>
        </row>
        <row r="16">
          <cell r="B16" t="str">
            <v xml:space="preserve">  Sector público</v>
          </cell>
          <cell r="C16">
            <v>5038.4507032060046</v>
          </cell>
          <cell r="D16">
            <v>206.79830473748427</v>
          </cell>
          <cell r="E16">
            <v>4.7545010685690725</v>
          </cell>
          <cell r="F16">
            <v>5.1154562909885071</v>
          </cell>
          <cell r="G16">
            <v>2.1855324702820811</v>
          </cell>
          <cell r="H16">
            <v>6.7677985777273575</v>
          </cell>
          <cell r="I16">
            <v>5.4077915003381882</v>
          </cell>
          <cell r="J16">
            <v>3.1250455105550135</v>
          </cell>
          <cell r="K16">
            <v>5.6240870689946432</v>
          </cell>
          <cell r="L16">
            <v>4.9199571766632477</v>
          </cell>
          <cell r="M16">
            <v>5.9855938331922598</v>
          </cell>
          <cell r="N16">
            <v>5.7392633098006574</v>
          </cell>
          <cell r="O16">
            <v>4.6606072286483391</v>
          </cell>
          <cell r="P16">
            <v>3.3418365634998004</v>
          </cell>
          <cell r="Q16">
            <v>4.6831062591619288</v>
          </cell>
          <cell r="R16">
            <v>4.8102969243243532</v>
          </cell>
          <cell r="S16">
            <v>4.7056679282042158</v>
          </cell>
          <cell r="T16">
            <v>4.7056679282042158</v>
          </cell>
          <cell r="U16">
            <v>5.46520081576507</v>
          </cell>
          <cell r="V16">
            <v>2.6748191557836147</v>
          </cell>
          <cell r="W16">
            <v>3.3335698443883066</v>
          </cell>
        </row>
        <row r="17">
          <cell r="B17" t="str">
            <v xml:space="preserve">  . Administración Central</v>
          </cell>
          <cell r="C17">
            <v>1923.3749645406356</v>
          </cell>
          <cell r="D17">
            <v>285.75505002744279</v>
          </cell>
          <cell r="E17">
            <v>-0.66809401833481941</v>
          </cell>
          <cell r="F17">
            <v>-0.76083801446760191</v>
          </cell>
          <cell r="G17">
            <v>-7.4870598433972031</v>
          </cell>
          <cell r="H17">
            <v>-7.9308705251129989</v>
          </cell>
          <cell r="I17">
            <v>-11.049042798403686</v>
          </cell>
          <cell r="J17">
            <v>-18.973663094041836</v>
          </cell>
          <cell r="K17">
            <v>-11.925357928350454</v>
          </cell>
          <cell r="L17">
            <v>-12.31167837479169</v>
          </cell>
          <cell r="M17">
            <v>-0.60018340257526059</v>
          </cell>
          <cell r="N17">
            <v>2.310183176960523</v>
          </cell>
          <cell r="O17">
            <v>3.4521266953660756</v>
          </cell>
          <cell r="P17">
            <v>3.8226041354034734</v>
          </cell>
          <cell r="Q17">
            <v>2.4645187943005409</v>
          </cell>
          <cell r="R17">
            <v>-4.3178038737946789</v>
          </cell>
          <cell r="S17">
            <v>-13.860504733860136</v>
          </cell>
          <cell r="T17">
            <v>-13.860504733860136</v>
          </cell>
          <cell r="U17">
            <v>1.7665133815580658</v>
          </cell>
          <cell r="V17">
            <v>4.8645567528826543</v>
          </cell>
          <cell r="W17">
            <v>3.7223139650900849</v>
          </cell>
        </row>
        <row r="18">
          <cell r="B18" t="str">
            <v xml:space="preserve">  . Comunidades Autónomas</v>
          </cell>
          <cell r="C18">
            <v>3115.0757386653686</v>
          </cell>
          <cell r="D18">
            <v>28340.002710177512</v>
          </cell>
          <cell r="E18">
            <v>10.006098647668193</v>
          </cell>
          <cell r="F18">
            <v>11.61984262485749</v>
          </cell>
          <cell r="G18">
            <v>11.911813956006556</v>
          </cell>
          <cell r="H18">
            <v>22.091054122438969</v>
          </cell>
          <cell r="I18">
            <v>19.799175636619704</v>
          </cell>
          <cell r="J18">
            <v>24.872647073609897</v>
          </cell>
          <cell r="K18">
            <v>20.212024291097098</v>
          </cell>
          <cell r="L18">
            <v>18.466539025966199</v>
          </cell>
          <cell r="M18">
            <v>10.261814441219679</v>
          </cell>
          <cell r="N18">
            <v>7.9289450354077555</v>
          </cell>
          <cell r="O18">
            <v>5.3965992981823963</v>
          </cell>
          <cell r="P18">
            <v>9.6141931656711819</v>
          </cell>
          <cell r="Q18">
            <v>7.0797581243734253</v>
          </cell>
          <cell r="R18">
            <v>14.246014842450716</v>
          </cell>
          <cell r="S18">
            <v>20.779039403949895</v>
          </cell>
          <cell r="T18">
            <v>20.779039403949895</v>
          </cell>
          <cell r="U18">
            <v>7.8031792265881306</v>
          </cell>
          <cell r="V18">
            <v>8.7920960772861765</v>
          </cell>
          <cell r="W18">
            <v>9.2745594736380887</v>
          </cell>
        </row>
        <row r="19">
          <cell r="B19" t="str">
            <v>Pensiones</v>
          </cell>
          <cell r="C19">
            <v>9978.8140858833649</v>
          </cell>
          <cell r="D19">
            <v>21374.893849036467</v>
          </cell>
          <cell r="E19">
            <v>5.8441416975641536</v>
          </cell>
          <cell r="F19">
            <v>5.378178101740394</v>
          </cell>
          <cell r="G19">
            <v>5.6595411563550302</v>
          </cell>
          <cell r="H19">
            <v>5.6588070209280472</v>
          </cell>
          <cell r="I19">
            <v>10.902537701487457</v>
          </cell>
          <cell r="J19">
            <v>7.4081023881237051</v>
          </cell>
          <cell r="K19">
            <v>7.7235336824266643</v>
          </cell>
          <cell r="L19">
            <v>8.1182186368256914</v>
          </cell>
          <cell r="M19">
            <v>5.8249800688612519</v>
          </cell>
          <cell r="N19">
            <v>9.0217888742611265</v>
          </cell>
          <cell r="O19">
            <v>8.3255386835593637</v>
          </cell>
          <cell r="P19">
            <v>10.687643641482003</v>
          </cell>
          <cell r="Q19">
            <v>5.8766553458343029</v>
          </cell>
          <cell r="R19">
            <v>5.6355105198377498</v>
          </cell>
          <cell r="S19">
            <v>8.4451181660397445</v>
          </cell>
          <cell r="T19">
            <v>8.4451181660397445</v>
          </cell>
          <cell r="U19">
            <v>7.7769655332085019</v>
          </cell>
          <cell r="V19">
            <v>9.4383762221478325</v>
          </cell>
          <cell r="W19">
            <v>10.432944497028007</v>
          </cell>
        </row>
        <row r="20">
          <cell r="B20" t="str">
            <v>Prestaciones de desempleo</v>
          </cell>
          <cell r="C20">
            <v>1078.6210000000001</v>
          </cell>
          <cell r="D20">
            <v>11680.398999999999</v>
          </cell>
          <cell r="E20">
            <v>-8.5389255650374594</v>
          </cell>
          <cell r="F20">
            <v>-4.6793945377642139</v>
          </cell>
          <cell r="G20">
            <v>-5.5841697974049698</v>
          </cell>
          <cell r="H20">
            <v>-4.2461235458268742E-2</v>
          </cell>
          <cell r="I20">
            <v>0.19586051293827289</v>
          </cell>
          <cell r="J20">
            <v>1.06662567840623</v>
          </cell>
          <cell r="K20">
            <v>4.4627095760544133</v>
          </cell>
          <cell r="L20">
            <v>5.9243744667187626</v>
          </cell>
          <cell r="M20">
            <v>6.4551776433420027</v>
          </cell>
          <cell r="N20">
            <v>9.5241926956898038</v>
          </cell>
          <cell r="O20">
            <v>10.253718969620195</v>
          </cell>
          <cell r="P20">
            <v>14.772817553844986</v>
          </cell>
          <cell r="Q20">
            <v>-5.4351368970013141</v>
          </cell>
          <cell r="R20">
            <v>-4.8589829307593035</v>
          </cell>
          <cell r="S20">
            <v>2.854132298391332</v>
          </cell>
          <cell r="T20">
            <v>2.854132298391332</v>
          </cell>
          <cell r="U20">
            <v>8.701124416623319</v>
          </cell>
          <cell r="V20">
            <v>12.597950397068722</v>
          </cell>
          <cell r="W20">
            <v>13.245685806228025</v>
          </cell>
        </row>
        <row r="21">
          <cell r="B21" t="str">
            <v>Actividades económicas</v>
          </cell>
          <cell r="C21">
            <v>4605.4319999999998</v>
          </cell>
          <cell r="D21">
            <v>9694.4948490364659</v>
          </cell>
          <cell r="E21">
            <v>10.762250296673459</v>
          </cell>
          <cell r="F21">
            <v>1.1054358885020044</v>
          </cell>
          <cell r="G21">
            <v>1.5990514321793103</v>
          </cell>
          <cell r="H21">
            <v>2.3195184104973343</v>
          </cell>
          <cell r="I21">
            <v>4.8155660150501101</v>
          </cell>
          <cell r="J21">
            <v>3.8376467911430234</v>
          </cell>
          <cell r="K21">
            <v>5.7841352891222275</v>
          </cell>
          <cell r="L21">
            <v>3.3836019753310076</v>
          </cell>
          <cell r="M21">
            <v>3.2000000000000028</v>
          </cell>
          <cell r="N21">
            <v>3.2000000000000028</v>
          </cell>
          <cell r="O21">
            <v>3.2000000000000028</v>
          </cell>
          <cell r="P21">
            <v>5.3568994410738036</v>
          </cell>
          <cell r="Q21">
            <v>5.1516775879281607</v>
          </cell>
          <cell r="R21">
            <v>3.8589915338246739</v>
          </cell>
          <cell r="S21">
            <v>4.3635744785766706</v>
          </cell>
          <cell r="T21">
            <v>4.3635744785766706</v>
          </cell>
          <cell r="U21">
            <v>3.2000000000000028</v>
          </cell>
          <cell r="V21">
            <v>5.6315675531185674</v>
          </cell>
          <cell r="W21">
            <v>6.7219624648028553</v>
          </cell>
        </row>
        <row r="22">
          <cell r="B22" t="str">
            <v>Premios</v>
          </cell>
          <cell r="C22">
            <v>15.893000000000001</v>
          </cell>
          <cell r="D22">
            <v>6965.108861141046</v>
          </cell>
          <cell r="E22">
            <v>327.12768976577837</v>
          </cell>
          <cell r="F22">
            <v>350.29761583119267</v>
          </cell>
          <cell r="G22">
            <v>16.717002971170537</v>
          </cell>
          <cell r="H22">
            <v>234.93643502851765</v>
          </cell>
          <cell r="I22">
            <v>-42.96364670106373</v>
          </cell>
          <cell r="J22">
            <v>-54.504505362471804</v>
          </cell>
          <cell r="K22">
            <v>-42.747191751429661</v>
          </cell>
          <cell r="L22">
            <v>-56.326400505441974</v>
          </cell>
          <cell r="M22">
            <v>19.369721391002169</v>
          </cell>
          <cell r="N22">
            <v>-2.5764865742197163</v>
          </cell>
          <cell r="O22">
            <v>4.0702301279625708</v>
          </cell>
          <cell r="P22">
            <v>5.9994196688768708</v>
          </cell>
          <cell r="Q22">
            <v>7.5897435897435805</v>
          </cell>
          <cell r="R22">
            <v>188.85518675795132</v>
          </cell>
          <cell r="S22">
            <v>-52.31766223635654</v>
          </cell>
          <cell r="T22">
            <v>-52.31766223635654</v>
          </cell>
          <cell r="U22">
            <v>6.4905526980887807</v>
          </cell>
          <cell r="V22">
            <v>6.8087574434526292</v>
          </cell>
          <cell r="W22">
            <v>5.8256363009133727</v>
          </cell>
        </row>
        <row r="23">
          <cell r="B23" t="str">
            <v xml:space="preserve">  . Central (Estado y Seguridad Social)</v>
          </cell>
          <cell r="C23">
            <v>3058.5127149999998</v>
          </cell>
          <cell r="D23">
            <v>3150.6419510000001</v>
          </cell>
          <cell r="E23">
            <v>3085.7454208860722</v>
          </cell>
          <cell r="F23">
            <v>2972.0387190871766</v>
          </cell>
          <cell r="H23">
            <v>3.4234655859948893</v>
          </cell>
          <cell r="I23">
            <v>1.7511381749215182</v>
          </cell>
          <cell r="J23">
            <v>5.2651073735682674</v>
          </cell>
          <cell r="K23">
            <v>2.149239278356796</v>
          </cell>
          <cell r="L23">
            <v>1.6631705909953443</v>
          </cell>
          <cell r="M23">
            <v>1.5668794269034114</v>
          </cell>
          <cell r="N23">
            <v>-5.3188529517815386</v>
          </cell>
          <cell r="O23">
            <v>-5.7220752232471916</v>
          </cell>
          <cell r="P23">
            <v>-5.2064890752693493</v>
          </cell>
          <cell r="Q23">
            <v>-5.4345980930742943</v>
          </cell>
          <cell r="R23">
            <v>-1.9999999999999907</v>
          </cell>
          <cell r="S23">
            <v>-2.0000000000000018</v>
          </cell>
          <cell r="U23">
            <v>3.0122234100308529</v>
          </cell>
          <cell r="V23">
            <v>-2.0597875329289623</v>
          </cell>
          <cell r="W23">
            <v>-5.3360327968729475</v>
          </cell>
        </row>
        <row r="24">
          <cell r="B24" t="str">
            <v xml:space="preserve">  . Territorial</v>
          </cell>
          <cell r="C24">
            <v>3562.1287611123175</v>
          </cell>
          <cell r="D24">
            <v>3814.466910141045</v>
          </cell>
          <cell r="E24">
            <v>4353.6008082824928</v>
          </cell>
          <cell r="F24">
            <v>4883.9108989148308</v>
          </cell>
          <cell r="H24">
            <v>9.785812976531826</v>
          </cell>
          <cell r="I24">
            <v>6.3550613037411496</v>
          </cell>
          <cell r="J24">
            <v>8.7115822369036913</v>
          </cell>
          <cell r="K24">
            <v>4.5857593345210113</v>
          </cell>
          <cell r="L24">
            <v>13.20049533091716</v>
          </cell>
          <cell r="M24">
            <v>13.900778572912653</v>
          </cell>
          <cell r="N24">
            <v>11.01697806116837</v>
          </cell>
          <cell r="O24">
            <v>17.620618015048105</v>
          </cell>
          <cell r="P24">
            <v>14.343379472418526</v>
          </cell>
          <cell r="Q24">
            <v>13.904368285989598</v>
          </cell>
          <cell r="R24">
            <v>13.768294955053339</v>
          </cell>
          <cell r="S24">
            <v>7.7697069704838695</v>
          </cell>
          <cell r="U24">
            <v>7.0839143094291694</v>
          </cell>
          <cell r="V24">
            <v>14.133925154996628</v>
          </cell>
          <cell r="W24">
            <v>14.09306901035694</v>
          </cell>
        </row>
        <row r="25">
          <cell r="B25" t="str">
            <v>RETENCIONES (millardos de pesetas) (4)</v>
          </cell>
        </row>
        <row r="26">
          <cell r="B26" t="str">
            <v>TOTAL</v>
          </cell>
          <cell r="C26">
            <v>5504.9470000000001</v>
          </cell>
          <cell r="E26">
            <v>-2.8453244501043806</v>
          </cell>
          <cell r="F26">
            <v>-4.1552990793069728</v>
          </cell>
          <cell r="G26">
            <v>-5.9947015106429298</v>
          </cell>
          <cell r="H26">
            <v>-0.65701565101382586</v>
          </cell>
          <cell r="I26">
            <v>11.244001123211621</v>
          </cell>
          <cell r="J26">
            <v>11.797129328605438</v>
          </cell>
          <cell r="K26">
            <v>11.573227890549752</v>
          </cell>
          <cell r="L26">
            <v>10.84564637742047</v>
          </cell>
          <cell r="M26">
            <v>15.50674298685626</v>
          </cell>
          <cell r="N26">
            <v>13.670270630487735</v>
          </cell>
          <cell r="O26">
            <v>13.360422855999833</v>
          </cell>
          <cell r="Q26">
            <v>10.517508430753697</v>
          </cell>
          <cell r="R26">
            <v>-3.3018273817020827</v>
          </cell>
          <cell r="S26">
            <v>11.339664687410632</v>
          </cell>
          <cell r="T26">
            <v>11.339664687410632</v>
          </cell>
          <cell r="U26">
            <v>14.160770856399218</v>
          </cell>
        </row>
        <row r="27">
          <cell r="B27" t="str">
            <v>Sector privado (3)</v>
          </cell>
          <cell r="C27">
            <v>4331.5709975052978</v>
          </cell>
          <cell r="E27">
            <v>-0.68140091419679472</v>
          </cell>
          <cell r="F27">
            <v>-1.826022305061259</v>
          </cell>
          <cell r="G27">
            <v>-3.793487859418132</v>
          </cell>
          <cell r="H27">
            <v>2.4546157975630312</v>
          </cell>
          <cell r="I27">
            <v>12.207252900577092</v>
          </cell>
          <cell r="J27">
            <v>11.517245462914127</v>
          </cell>
          <cell r="K27">
            <v>11.212893447105788</v>
          </cell>
          <cell r="L27">
            <v>10.184464838371742</v>
          </cell>
          <cell r="M27">
            <v>15.856860996029031</v>
          </cell>
          <cell r="N27">
            <v>14.589554653090131</v>
          </cell>
          <cell r="O27">
            <v>14.596886344548432</v>
          </cell>
          <cell r="Q27">
            <v>12.083262244707615</v>
          </cell>
          <cell r="R27">
            <v>-0.80946449653782615</v>
          </cell>
          <cell r="S27">
            <v>11.211321763437155</v>
          </cell>
          <cell r="T27">
            <v>11.211321763437155</v>
          </cell>
          <cell r="U27">
            <v>15.007700822200887</v>
          </cell>
        </row>
        <row r="28">
          <cell r="B28" t="str">
            <v>. Grandes Empresas</v>
          </cell>
          <cell r="C28">
            <v>2598.0528927251062</v>
          </cell>
          <cell r="D28">
            <v>7581.8633928571408</v>
          </cell>
          <cell r="E28">
            <v>0.14279690597267525</v>
          </cell>
          <cell r="F28">
            <v>-4.9035316420642516E-2</v>
          </cell>
          <cell r="G28">
            <v>-2.4117193657078539</v>
          </cell>
          <cell r="H28">
            <v>4.8260354375490033</v>
          </cell>
          <cell r="I28">
            <v>12.925645002169839</v>
          </cell>
          <cell r="J28">
            <v>10.540993228592011</v>
          </cell>
          <cell r="K28">
            <v>9.8169275387806962</v>
          </cell>
          <cell r="L28">
            <v>9.8586016887654004</v>
          </cell>
          <cell r="M28">
            <v>16.7805349698829</v>
          </cell>
          <cell r="N28">
            <v>15.971436309942021</v>
          </cell>
          <cell r="O28">
            <v>15.065807585219314</v>
          </cell>
          <cell r="P28">
            <v>1.1332395014556296</v>
          </cell>
          <cell r="Q28">
            <v>10.894289501081378</v>
          </cell>
          <cell r="R28">
            <v>0.76005507194807365</v>
          </cell>
          <cell r="S28">
            <v>10.745784086003173</v>
          </cell>
          <cell r="T28">
            <v>10.745784086003173</v>
          </cell>
          <cell r="U28">
            <v>15.952535414188462</v>
          </cell>
          <cell r="V28">
            <v>1.2890577573101836</v>
          </cell>
          <cell r="W28">
            <v>1.1418928688847307</v>
          </cell>
        </row>
        <row r="29">
          <cell r="B29" t="str">
            <v>. PYMEs (3)</v>
          </cell>
          <cell r="C29">
            <v>1733.5181047801921</v>
          </cell>
          <cell r="D29">
            <v>97.190532985768371</v>
          </cell>
          <cell r="E29">
            <v>-2.0235392436704025</v>
          </cell>
          <cell r="F29">
            <v>-4.4082048958267066</v>
          </cell>
          <cell r="G29">
            <v>-5.8554477672405518</v>
          </cell>
          <cell r="H29">
            <v>-0.65319157346345191</v>
          </cell>
          <cell r="I29">
            <v>11.011544346771206</v>
          </cell>
          <cell r="J29">
            <v>13.000552696428391</v>
          </cell>
          <cell r="K29">
            <v>13.372239341515279</v>
          </cell>
          <cell r="L29">
            <v>10.635070010259673</v>
          </cell>
          <cell r="M29">
            <v>14.292968378749006</v>
          </cell>
          <cell r="N29">
            <v>12.535638451944653</v>
          </cell>
          <cell r="O29">
            <v>13.894283550901477</v>
          </cell>
          <cell r="P29">
            <v>12.289056264030119</v>
          </cell>
          <cell r="Q29">
            <v>13.861462195780705</v>
          </cell>
          <cell r="R29">
            <v>-3.0956309932660964</v>
          </cell>
          <cell r="S29">
            <v>11.916405983153865</v>
          </cell>
          <cell r="T29">
            <v>11.916405983153865</v>
          </cell>
          <cell r="U29">
            <v>13.538757069803431</v>
          </cell>
          <cell r="V29">
            <v>8.1513375226250275</v>
          </cell>
          <cell r="W29">
            <v>10.555395023732238</v>
          </cell>
        </row>
        <row r="30">
          <cell r="B30" t="str">
            <v>Sector público</v>
          </cell>
          <cell r="C30">
            <v>1173.3760024947017</v>
          </cell>
          <cell r="D30">
            <v>8847.655245493941</v>
          </cell>
          <cell r="E30">
            <v>-10.255543943573887</v>
          </cell>
          <cell r="F30">
            <v>-11.580568231092602</v>
          </cell>
          <cell r="G30">
            <v>-13.178847078848932</v>
          </cell>
          <cell r="H30">
            <v>-11.140106666815019</v>
          </cell>
          <cell r="I30">
            <v>7.5935046257355365</v>
          </cell>
          <cell r="J30">
            <v>12.787773379968126</v>
          </cell>
          <cell r="K30">
            <v>12.876387541648171</v>
          </cell>
          <cell r="L30">
            <v>13.413957690676458</v>
          </cell>
          <cell r="M30">
            <v>14.122980848988664</v>
          </cell>
          <cell r="N30">
            <v>10.453134079068604</v>
          </cell>
          <cell r="O30">
            <v>8.9546187612613348</v>
          </cell>
          <cell r="P30">
            <v>13.560508967887097</v>
          </cell>
          <cell r="Q30">
            <v>5.6335529466729595</v>
          </cell>
          <cell r="R30">
            <v>-11.550771649432058</v>
          </cell>
          <cell r="S30">
            <v>11.816024603331554</v>
          </cell>
          <cell r="T30">
            <v>11.816024603331554</v>
          </cell>
          <cell r="U30">
            <v>11.062259510321958</v>
          </cell>
          <cell r="V30">
            <v>9.5324213516769714</v>
          </cell>
          <cell r="W30">
            <v>11.81509199287698</v>
          </cell>
        </row>
        <row r="31">
          <cell r="B31" t="str">
            <v>. Administración Central</v>
          </cell>
          <cell r="C31">
            <v>649.28974907523468</v>
          </cell>
          <cell r="E31">
            <v>-13.846332482462353</v>
          </cell>
          <cell r="F31">
            <v>-16.726147503198575</v>
          </cell>
          <cell r="G31">
            <v>-19.043590780768593</v>
          </cell>
          <cell r="H31">
            <v>-20.77394538552808</v>
          </cell>
          <cell r="I31">
            <v>-2.8282646899363106</v>
          </cell>
          <cell r="J31">
            <v>1.7095751383026547</v>
          </cell>
          <cell r="K31">
            <v>5.188185316730376</v>
          </cell>
          <cell r="L31">
            <v>6.4223491586272052</v>
          </cell>
          <cell r="M31">
            <v>14.329668760708181</v>
          </cell>
          <cell r="N31">
            <v>9.555942802763461</v>
          </cell>
          <cell r="O31">
            <v>8.9227193492156012</v>
          </cell>
          <cell r="Q31">
            <v>4.962463635870451</v>
          </cell>
          <cell r="R31">
            <v>-17.801924735797481</v>
          </cell>
          <cell r="S31">
            <v>2.7828286688620363</v>
          </cell>
          <cell r="T31">
            <v>2.7828286688620363</v>
          </cell>
          <cell r="U31">
            <v>10.791051586353163</v>
          </cell>
        </row>
        <row r="32">
          <cell r="B32" t="str">
            <v xml:space="preserve">  . Estado (Tesoro)</v>
          </cell>
          <cell r="C32">
            <v>293.66742812362833</v>
          </cell>
          <cell r="E32">
            <v>-18.471111092952263</v>
          </cell>
          <cell r="F32">
            <v>-17.021462946909271</v>
          </cell>
          <cell r="G32">
            <v>-19.402884871882808</v>
          </cell>
          <cell r="H32">
            <v>-22.420966980745959</v>
          </cell>
          <cell r="I32">
            <v>-9.7947447470659874</v>
          </cell>
          <cell r="J32">
            <v>-10.645491272099072</v>
          </cell>
          <cell r="K32">
            <v>-7.8682673032601453</v>
          </cell>
          <cell r="L32">
            <v>-5.5163290016411626</v>
          </cell>
          <cell r="M32">
            <v>8.1520322585590943</v>
          </cell>
          <cell r="N32">
            <v>2.6848263761786395</v>
          </cell>
          <cell r="O32">
            <v>5.9477726574500789</v>
          </cell>
          <cell r="Q32">
            <v>2.0562837372605669</v>
          </cell>
          <cell r="R32">
            <v>-19.386365394692685</v>
          </cell>
          <cell r="S32">
            <v>-8.4546733613271137</v>
          </cell>
          <cell r="T32">
            <v>-8.4546733613271137</v>
          </cell>
          <cell r="U32">
            <v>5.4002462466475221</v>
          </cell>
        </row>
        <row r="33">
          <cell r="B33" t="str">
            <v xml:space="preserve">  . Seguridad Social</v>
          </cell>
          <cell r="C33">
            <v>355.62232095160635</v>
          </cell>
          <cell r="D33">
            <v>928.45649999999978</v>
          </cell>
          <cell r="E33">
            <v>-8.6306677243914827</v>
          </cell>
          <cell r="F33">
            <v>-16.35146246426854</v>
          </cell>
          <cell r="G33">
            <v>-18.723019410736686</v>
          </cell>
          <cell r="H33">
            <v>-19.049826552318251</v>
          </cell>
          <cell r="I33">
            <v>4.1821416580955395</v>
          </cell>
          <cell r="J33">
            <v>17.259657671536075</v>
          </cell>
          <cell r="K33">
            <v>16.740041970427157</v>
          </cell>
          <cell r="L33">
            <v>18.399422955901755</v>
          </cell>
          <cell r="M33">
            <v>19.712251359258314</v>
          </cell>
          <cell r="N33">
            <v>16.145902691185544</v>
          </cell>
          <cell r="O33">
            <v>11.000000000000011</v>
          </cell>
          <cell r="P33">
            <v>-4.4679352690033758</v>
          </cell>
          <cell r="Q33">
            <v>8.2731910448165422</v>
          </cell>
          <cell r="R33">
            <v>-16.100566680712959</v>
          </cell>
          <cell r="S33">
            <v>14.376980980278464</v>
          </cell>
          <cell r="T33">
            <v>14.376980980278464</v>
          </cell>
          <cell r="U33">
            <v>15.297065722081292</v>
          </cell>
          <cell r="V33">
            <v>-9.4086798896878641</v>
          </cell>
          <cell r="W33">
            <v>-4.1729581837790519</v>
          </cell>
        </row>
        <row r="34">
          <cell r="B34" t="str">
            <v>. Comunidades Autónomas</v>
          </cell>
          <cell r="C34">
            <v>524.08625341946697</v>
          </cell>
          <cell r="D34">
            <v>99.034990368124781</v>
          </cell>
          <cell r="E34">
            <v>-3.7640150707965003</v>
          </cell>
          <cell r="F34">
            <v>-2.3522729676083487</v>
          </cell>
          <cell r="G34">
            <v>-2.0968494140995997</v>
          </cell>
          <cell r="H34">
            <v>6.8081950815248149</v>
          </cell>
          <cell r="I34">
            <v>24.460389981553487</v>
          </cell>
          <cell r="J34">
            <v>29.731262925816516</v>
          </cell>
          <cell r="K34">
            <v>24.889301985885414</v>
          </cell>
          <cell r="L34">
            <v>23.075902389011738</v>
          </cell>
          <cell r="M34">
            <v>13.861814441219678</v>
          </cell>
          <cell r="N34">
            <v>11.528945035407778</v>
          </cell>
          <cell r="O34">
            <v>8.9965992981823959</v>
          </cell>
          <cell r="P34">
            <v>4.8501914601964291</v>
          </cell>
          <cell r="Q34">
            <v>6.8903614394587809</v>
          </cell>
          <cell r="R34">
            <v>-5.4834252294433394E-2</v>
          </cell>
          <cell r="S34">
            <v>25.478378844687466</v>
          </cell>
          <cell r="T34">
            <v>25.478378844687466</v>
          </cell>
          <cell r="U34">
            <v>11.403179226588156</v>
          </cell>
          <cell r="V34">
            <v>5.1236423438693066</v>
          </cell>
          <cell r="W34">
            <v>4.9749677978528473</v>
          </cell>
        </row>
        <row r="35">
          <cell r="B35" t="str">
            <v>Pagos por desempleo (millardos)</v>
          </cell>
          <cell r="C35">
            <v>1165.5999999999997</v>
          </cell>
          <cell r="D35">
            <v>1102.2480443285524</v>
          </cell>
          <cell r="E35">
            <v>1048.972</v>
          </cell>
          <cell r="F35">
            <v>1056.8056019982248</v>
          </cell>
          <cell r="H35">
            <v>-3.6282623690709892</v>
          </cell>
          <cell r="I35">
            <v>-6.4931018346579989</v>
          </cell>
          <cell r="J35">
            <v>-4.8965684503842315</v>
          </cell>
          <cell r="K35">
            <v>-6.8887259325876578</v>
          </cell>
          <cell r="L35">
            <v>-8.5143310490311102</v>
          </cell>
          <cell r="M35">
            <v>-4.6537621671491003</v>
          </cell>
          <cell r="N35">
            <v>-5.558780727119994</v>
          </cell>
          <cell r="O35">
            <v>-1.5581961381427867E-2</v>
          </cell>
          <cell r="P35">
            <v>0.1844337882700442</v>
          </cell>
          <cell r="Q35">
            <v>1.0550996483001507</v>
          </cell>
          <cell r="R35">
            <v>1.9023879134340671</v>
          </cell>
          <cell r="S35">
            <v>-7.3292873923247459E-2</v>
          </cell>
          <cell r="U35">
            <v>-5.4351368970013132</v>
          </cell>
          <cell r="V35">
            <v>-4.8333988527061678</v>
          </cell>
          <cell r="W35">
            <v>0.60721062618598332</v>
          </cell>
        </row>
        <row r="37">
          <cell r="B37" t="str">
            <v>PERSONAS SUJETAS (miles)</v>
          </cell>
        </row>
        <row r="38">
          <cell r="B38" t="str">
            <v>Asalariados</v>
          </cell>
          <cell r="C38">
            <v>11798.385930677479</v>
          </cell>
          <cell r="E38">
            <v>5.81900031338487</v>
          </cell>
          <cell r="F38">
            <v>5.685667964597374</v>
          </cell>
          <cell r="G38">
            <v>5.8791269024849546</v>
          </cell>
          <cell r="H38">
            <v>5.4550191257251912</v>
          </cell>
          <cell r="I38">
            <v>5.2463794452212387</v>
          </cell>
          <cell r="J38">
            <v>5.0250636866853826</v>
          </cell>
          <cell r="K38">
            <v>4.9532018626326613</v>
          </cell>
          <cell r="L38">
            <v>5.0905050399488339</v>
          </cell>
          <cell r="M38">
            <v>5.6366782729055043</v>
          </cell>
          <cell r="N38">
            <v>5.2678374801996553</v>
          </cell>
          <cell r="O38">
            <v>4.469400155239156</v>
          </cell>
          <cell r="Q38">
            <v>5.449299128544947</v>
          </cell>
          <cell r="R38">
            <v>5.7080915468254769</v>
          </cell>
          <cell r="S38">
            <v>5.077354911314881</v>
          </cell>
          <cell r="T38">
            <v>5.077354911314881</v>
          </cell>
          <cell r="U38">
            <v>5.1179195695311597</v>
          </cell>
        </row>
        <row r="39">
          <cell r="B39" t="str">
            <v>. Sector privado</v>
          </cell>
          <cell r="C39">
            <v>9736.4199306774808</v>
          </cell>
          <cell r="D39">
            <v>1821.8510000000003</v>
          </cell>
          <cell r="E39">
            <v>6.4211041120469048</v>
          </cell>
          <cell r="F39">
            <v>6.4619663281690887</v>
          </cell>
          <cell r="G39">
            <v>6.7026244509233113</v>
          </cell>
          <cell r="H39">
            <v>6.6919575167995182</v>
          </cell>
          <cell r="I39">
            <v>6.7980736380308215</v>
          </cell>
          <cell r="J39">
            <v>6.3580141465070295</v>
          </cell>
          <cell r="K39">
            <v>6.0719310402678861</v>
          </cell>
          <cell r="L39">
            <v>5.5682905521215575</v>
          </cell>
          <cell r="M39">
            <v>6.2548777687646551</v>
          </cell>
          <cell r="N39">
            <v>5.9083597206635252</v>
          </cell>
          <cell r="O39">
            <v>4.943241399734366</v>
          </cell>
          <cell r="P39">
            <v>13.635682366982138</v>
          </cell>
          <cell r="Q39">
            <v>6.4288323765059232</v>
          </cell>
          <cell r="R39">
            <v>6.5717440576509523</v>
          </cell>
          <cell r="S39">
            <v>6.1896185003378941</v>
          </cell>
          <cell r="T39">
            <v>6.1896185003378941</v>
          </cell>
          <cell r="U39">
            <v>5.693798585522436</v>
          </cell>
          <cell r="V39">
            <v>11.101182259141916</v>
          </cell>
          <cell r="W39">
            <v>10.278417031829568</v>
          </cell>
        </row>
        <row r="40">
          <cell r="B40" t="str">
            <v>. Administraciones públicas</v>
          </cell>
          <cell r="C40">
            <v>2061.965999999999</v>
          </cell>
          <cell r="E40">
            <v>3.3240394314581589</v>
          </cell>
          <cell r="F40">
            <v>2.3675348104507998</v>
          </cell>
          <cell r="G40">
            <v>2.338195310262714</v>
          </cell>
          <cell r="H40">
            <v>9.8590170578893854E-2</v>
          </cell>
          <cell r="I40">
            <v>-1.3761651630773475</v>
          </cell>
          <cell r="J40">
            <v>-0.90025054005281602</v>
          </cell>
          <cell r="K40">
            <v>-6.2336290642295289E-2</v>
          </cell>
          <cell r="L40">
            <v>2.885223819227134</v>
          </cell>
          <cell r="M40">
            <v>2.7795552689961367</v>
          </cell>
          <cell r="N40">
            <v>2.2120070236204992</v>
          </cell>
          <cell r="O40">
            <v>2.21465887338268</v>
          </cell>
          <cell r="Q40">
            <v>1.4687393333289707</v>
          </cell>
          <cell r="R40">
            <v>2.0268777304042587</v>
          </cell>
          <cell r="S40">
            <v>0.12528005920210822</v>
          </cell>
          <cell r="T40">
            <v>0.12528005920210822</v>
          </cell>
          <cell r="U40">
            <v>2.4014280189135429</v>
          </cell>
        </row>
        <row r="41">
          <cell r="B41" t="str">
            <v xml:space="preserve">  . Administración Central</v>
          </cell>
          <cell r="C41">
            <v>847.91800000000001</v>
          </cell>
          <cell r="E41">
            <v>-0.27409318901067126</v>
          </cell>
          <cell r="F41">
            <v>-0.45695155194219739</v>
          </cell>
          <cell r="G41">
            <v>-1.8858353745113798</v>
          </cell>
          <cell r="H41">
            <v>-5.2158201082300621</v>
          </cell>
          <cell r="I41">
            <v>-9.7727559263853685</v>
          </cell>
          <cell r="J41">
            <v>-11.737160876174634</v>
          </cell>
          <cell r="K41">
            <v>-11.374525309261207</v>
          </cell>
          <cell r="L41">
            <v>-7.3720012002631785</v>
          </cell>
          <cell r="M41">
            <v>-1.4639769452449602</v>
          </cell>
          <cell r="N41">
            <v>-3.5433519425771998</v>
          </cell>
          <cell r="O41">
            <v>-3.5000000000000031</v>
          </cell>
          <cell r="Q41">
            <v>-0.36129465298416885</v>
          </cell>
          <cell r="R41">
            <v>-1.9570051427911044</v>
          </cell>
          <cell r="S41">
            <v>-10.092842358849069</v>
          </cell>
          <cell r="T41">
            <v>-10.092842358849069</v>
          </cell>
          <cell r="U41">
            <v>-2.8223097568825239</v>
          </cell>
        </row>
        <row r="42">
          <cell r="B42" t="str">
            <v xml:space="preserve">  . Administraciones Territoriales</v>
          </cell>
          <cell r="C42">
            <v>1214.0479999999991</v>
          </cell>
          <cell r="D42">
            <v>2424.4520000000007</v>
          </cell>
          <cell r="E42">
            <v>6.6421751894933267</v>
          </cell>
          <cell r="F42">
            <v>4.9513432480254194</v>
          </cell>
          <cell r="G42">
            <v>6.1757578219373999</v>
          </cell>
          <cell r="H42">
            <v>4.8638943384778477</v>
          </cell>
          <cell r="I42">
            <v>5.8648418857379481</v>
          </cell>
          <cell r="J42">
            <v>8.5023772646840801</v>
          </cell>
          <cell r="K42">
            <v>9.434553385018063</v>
          </cell>
          <cell r="L42">
            <v>11.198559269229257</v>
          </cell>
          <cell r="M42">
            <v>5.8985125463058896</v>
          </cell>
          <cell r="N42">
            <v>6.2741464039448802</v>
          </cell>
          <cell r="O42">
            <v>6.0999999999999943</v>
          </cell>
          <cell r="P42">
            <v>4.1975708716225579</v>
          </cell>
          <cell r="Q42">
            <v>3.1943467729332751</v>
          </cell>
          <cell r="R42">
            <v>5.6539948606068782</v>
          </cell>
          <cell r="S42">
            <v>8.7581811764410933</v>
          </cell>
          <cell r="T42">
            <v>8.7581811764410933</v>
          </cell>
          <cell r="U42">
            <v>6.0919378537165558</v>
          </cell>
          <cell r="V42">
            <v>-3.4299709790089157</v>
          </cell>
          <cell r="W42">
            <v>5.3134894485607376</v>
          </cell>
        </row>
        <row r="43">
          <cell r="B43" t="str">
            <v>Pensionistas</v>
          </cell>
          <cell r="C43">
            <v>7765.689657738094</v>
          </cell>
          <cell r="E43">
            <v>1.4017801489480508</v>
          </cell>
          <cell r="F43">
            <v>1.3266281384673562</v>
          </cell>
          <cell r="G43">
            <v>1.2434023890461443</v>
          </cell>
          <cell r="H43">
            <v>1.1858256255005806</v>
          </cell>
          <cell r="I43">
            <v>1.1332161421145015</v>
          </cell>
          <cell r="J43">
            <v>1.1460317107829132</v>
          </cell>
          <cell r="K43">
            <v>1.113729308952327</v>
          </cell>
          <cell r="L43">
            <v>1.0914491041468466</v>
          </cell>
          <cell r="M43">
            <v>1.1384573808943754</v>
          </cell>
          <cell r="N43">
            <v>1.0486767035963407</v>
          </cell>
          <cell r="O43">
            <v>0.731288883120218</v>
          </cell>
          <cell r="Q43">
            <v>1.7864620034494354</v>
          </cell>
          <cell r="R43">
            <v>1.2890577573101836</v>
          </cell>
          <cell r="S43">
            <v>1.121043924001756</v>
          </cell>
          <cell r="T43">
            <v>1.121043924001756</v>
          </cell>
          <cell r="U43">
            <v>0.97239755671518768</v>
          </cell>
        </row>
        <row r="44">
          <cell r="B44" t="str">
            <v>Beneficiarios de prestaciones de desempleo</v>
          </cell>
          <cell r="C44">
            <v>818.48958333333314</v>
          </cell>
          <cell r="E44">
            <v>-11.618207357282728</v>
          </cell>
          <cell r="F44">
            <v>-10.711042957531625</v>
          </cell>
          <cell r="G44">
            <v>-8.0268879929095043</v>
          </cell>
          <cell r="H44">
            <v>-6.8903522759274143</v>
          </cell>
          <cell r="I44">
            <v>-4.4679352690033758</v>
          </cell>
          <cell r="J44">
            <v>-3.8755775380854729</v>
          </cell>
          <cell r="K44">
            <v>-1.83017928801118</v>
          </cell>
          <cell r="L44">
            <v>-0.41181525198648039</v>
          </cell>
          <cell r="M44">
            <v>3.798240616030113</v>
          </cell>
          <cell r="N44">
            <v>6.0738485190163338</v>
          </cell>
          <cell r="O44">
            <v>6.7981767031296769</v>
          </cell>
          <cell r="Q44">
            <v>-11.413598927944639</v>
          </cell>
          <cell r="R44">
            <v>-9.4086798896878641</v>
          </cell>
          <cell r="S44">
            <v>-2.6883117088990329</v>
          </cell>
          <cell r="T44">
            <v>-2.6883117088990329</v>
          </cell>
          <cell r="U44">
            <v>5.5005778779030567</v>
          </cell>
        </row>
        <row r="45">
          <cell r="B45" t="str">
            <v>Retribuciones a consejeros (millardos)</v>
          </cell>
          <cell r="C45">
            <v>126.10000000000002</v>
          </cell>
          <cell r="D45">
            <v>132.30000000000001</v>
          </cell>
          <cell r="E45">
            <v>164.50000000000017</v>
          </cell>
          <cell r="F45">
            <v>184.40000000000009</v>
          </cell>
          <cell r="H45">
            <v>2.1648565820379551</v>
          </cell>
          <cell r="I45">
            <v>1.6710568480403865</v>
          </cell>
          <cell r="J45">
            <v>4.6464638117694745</v>
          </cell>
          <cell r="K45">
            <v>11.085735633618876</v>
          </cell>
          <cell r="L45">
            <v>20.006840354597124</v>
          </cell>
          <cell r="M45">
            <v>25.795606586756946</v>
          </cell>
          <cell r="N45">
            <v>27.096680973422927</v>
          </cell>
          <cell r="O45">
            <v>24.293369171301784</v>
          </cell>
          <cell r="P45">
            <v>18.808177183323991</v>
          </cell>
          <cell r="Q45">
            <v>13.924564533174744</v>
          </cell>
          <cell r="R45">
            <v>9.9597512372441521</v>
          </cell>
          <cell r="S45">
            <v>6.678189027082948</v>
          </cell>
          <cell r="U45">
            <v>4.9167327517842887</v>
          </cell>
          <cell r="V45">
            <v>24.338624338624456</v>
          </cell>
          <cell r="W45">
            <v>16.291698683581579</v>
          </cell>
        </row>
        <row r="47">
          <cell r="B47" t="str">
            <v>Retribuciones netas</v>
          </cell>
          <cell r="C47">
            <v>44832.283031283281</v>
          </cell>
          <cell r="E47">
            <v>11.523809316166055</v>
          </cell>
          <cell r="F47">
            <v>8.4647746514409974</v>
          </cell>
          <cell r="G47">
            <v>8.3604924077452125</v>
          </cell>
          <cell r="H47">
            <v>11.229978395071294</v>
          </cell>
          <cell r="I47">
            <v>9.9870978922234279</v>
          </cell>
          <cell r="J47">
            <v>8.528222565875998</v>
          </cell>
          <cell r="K47">
            <v>8.750902851205522</v>
          </cell>
          <cell r="L47">
            <v>6.6532404899212638</v>
          </cell>
          <cell r="M47">
            <v>8.26863445136512</v>
          </cell>
          <cell r="N47">
            <v>8.8319158206458646</v>
          </cell>
          <cell r="O47">
            <v>8.4854471367757043</v>
          </cell>
          <cell r="Q47">
            <v>6.65373686605919</v>
          </cell>
          <cell r="R47">
            <v>9.9174283509566372</v>
          </cell>
          <cell r="S47">
            <v>8.3554628036279546</v>
          </cell>
          <cell r="T47">
            <v>8.3554628036279546</v>
          </cell>
          <cell r="U47">
            <v>8.5338746647071861</v>
          </cell>
        </row>
        <row r="48">
          <cell r="B48" t="str">
            <v>Tipo medio de retención</v>
          </cell>
          <cell r="C48">
            <v>10.951752148552398</v>
          </cell>
          <cell r="D48">
            <v>11.536</v>
          </cell>
          <cell r="E48">
            <v>-11.611505534001642</v>
          </cell>
          <cell r="F48">
            <v>-10.506780826463435</v>
          </cell>
          <cell r="G48">
            <v>-12.001426651818914</v>
          </cell>
          <cell r="H48">
            <v>-9.6819894372106354</v>
          </cell>
          <cell r="I48">
            <v>1.1612515089352904</v>
          </cell>
          <cell r="J48">
            <v>2.8251340365116118</v>
          </cell>
          <cell r="K48">
            <v>2.4607913569627771</v>
          </cell>
          <cell r="L48">
            <v>3.6465192469879559</v>
          </cell>
          <cell r="M48">
            <v>5.9137923089705335</v>
          </cell>
          <cell r="N48">
            <v>3.9376049474983965</v>
          </cell>
          <cell r="O48">
            <v>4.0039325987485164</v>
          </cell>
          <cell r="P48">
            <v>42.978092628464992</v>
          </cell>
          <cell r="Q48">
            <v>3.2289851109882806</v>
          </cell>
          <cell r="R48">
            <v>-10.873122970356819</v>
          </cell>
          <cell r="S48">
            <v>2.598249592992663</v>
          </cell>
          <cell r="T48">
            <v>2.598249592992663</v>
          </cell>
          <cell r="U48">
            <v>4.599419661787163</v>
          </cell>
          <cell r="V48">
            <v>256.00728155339795</v>
          </cell>
          <cell r="W48">
            <v>26.817256111574462</v>
          </cell>
        </row>
        <row r="49">
          <cell r="B49" t="str">
            <v>Salario medio</v>
          </cell>
          <cell r="C49">
            <v>2931.4760127882942</v>
          </cell>
          <cell r="E49">
            <v>5.6751068240963765</v>
          </cell>
          <cell r="F49">
            <v>2.9648827430334812</v>
          </cell>
          <cell r="G49">
            <v>2.3972647034223638</v>
          </cell>
          <cell r="H49">
            <v>6.8063927630783283</v>
          </cell>
          <cell r="I49">
            <v>5.4119778512117023</v>
          </cell>
          <cell r="J49">
            <v>4.7839735052521926</v>
          </cell>
          <cell r="K49">
            <v>4.6823831010841532</v>
          </cell>
          <cell r="L49">
            <v>2.0624036508654076</v>
          </cell>
          <cell r="M49">
            <v>5.0104981424889949</v>
          </cell>
          <cell r="N49">
            <v>4.7233577527210802</v>
          </cell>
          <cell r="O49">
            <v>5.1881242935381433</v>
          </cell>
          <cell r="Q49">
            <v>2.6765044244148273</v>
          </cell>
          <cell r="R49">
            <v>4.528602856359587</v>
          </cell>
          <cell r="S49">
            <v>4.088933567705566</v>
          </cell>
          <cell r="T49">
            <v>4.088933567705566</v>
          </cell>
          <cell r="U49">
            <v>4.9701896553511871</v>
          </cell>
        </row>
        <row r="50">
          <cell r="B50" t="str">
            <v>. Sector privado</v>
          </cell>
          <cell r="C50">
            <v>3034.8151427911848</v>
          </cell>
          <cell r="E50">
            <v>6.3334368206827252</v>
          </cell>
          <cell r="F50">
            <v>2.9353349351560087</v>
          </cell>
          <cell r="G50">
            <v>2.7028117075297731</v>
          </cell>
          <cell r="H50">
            <v>6.5672232594719437</v>
          </cell>
          <cell r="I50">
            <v>4.7875565179477997</v>
          </cell>
          <cell r="J50">
            <v>4.7654450561726236</v>
          </cell>
          <cell r="K50">
            <v>4.278228645788551</v>
          </cell>
          <cell r="L50">
            <v>1.9784596244899921</v>
          </cell>
          <cell r="M50">
            <v>5.1666994175331826</v>
          </cell>
          <cell r="N50">
            <v>4.8721464619642552</v>
          </cell>
          <cell r="O50">
            <v>5.5456075935065519</v>
          </cell>
          <cell r="Q50">
            <v>2.402259854502109</v>
          </cell>
          <cell r="R50">
            <v>4.7007834416770367</v>
          </cell>
          <cell r="S50">
            <v>3.787703095228534</v>
          </cell>
          <cell r="T50">
            <v>3.787703095228534</v>
          </cell>
          <cell r="U50">
            <v>5.1931029575182031</v>
          </cell>
        </row>
        <row r="51">
          <cell r="B51" t="str">
            <v>. Sector público</v>
          </cell>
          <cell r="C51">
            <v>3098.0360793648579</v>
          </cell>
          <cell r="E51">
            <v>1.7655297245660728</v>
          </cell>
          <cell r="F51">
            <v>2.6873280309194891</v>
          </cell>
          <cell r="G51">
            <v>-0.82058329586404133</v>
          </cell>
          <cell r="H51">
            <v>4.9059958826349614</v>
          </cell>
          <cell r="I51">
            <v>5.1547304721405007</v>
          </cell>
          <cell r="J51">
            <v>2.9602590758716074</v>
          </cell>
          <cell r="K51">
            <v>5.6129966904520545</v>
          </cell>
          <cell r="L51">
            <v>2.185275739098369</v>
          </cell>
          <cell r="M51">
            <v>2.3842321445788794</v>
          </cell>
          <cell r="N51">
            <v>3.0506183221360894</v>
          </cell>
          <cell r="O51">
            <v>2.0120931882471327</v>
          </cell>
          <cell r="Q51">
            <v>3.7842194499747572</v>
          </cell>
          <cell r="R51">
            <v>2.2282426693957635</v>
          </cell>
          <cell r="S51">
            <v>3.906953691045878</v>
          </cell>
          <cell r="T51">
            <v>3.906953691045878</v>
          </cell>
          <cell r="U51">
            <v>2.9919238980589569</v>
          </cell>
        </row>
        <row r="52">
          <cell r="B52" t="str">
            <v>Total</v>
          </cell>
          <cell r="C52">
            <v>39875.358</v>
          </cell>
          <cell r="D52">
            <v>42680.044999999998</v>
          </cell>
          <cell r="E52">
            <v>46142.667000000001</v>
          </cell>
          <cell r="F52">
            <v>50240.009077183597</v>
          </cell>
          <cell r="H52">
            <v>7.0294064292172553</v>
          </cell>
          <cell r="I52">
            <v>6.6225405457343456</v>
          </cell>
          <cell r="J52">
            <v>7.199474068515288</v>
          </cell>
          <cell r="K52">
            <v>7.2462467216592774</v>
          </cell>
          <cell r="L52">
            <v>8.5560571436108734</v>
          </cell>
          <cell r="M52">
            <v>7.9560424077414815</v>
          </cell>
          <cell r="N52">
            <v>7.6497426614188457</v>
          </cell>
          <cell r="O52">
            <v>8.3092656542212531</v>
          </cell>
          <cell r="P52">
            <v>10.058302378241191</v>
          </cell>
          <cell r="Q52">
            <v>8.8464142903651233</v>
          </cell>
          <cell r="R52">
            <v>9.0225941027839873</v>
          </cell>
          <cell r="S52">
            <v>7.8428275019054583</v>
          </cell>
          <cell r="U52">
            <v>7.0336346572737938</v>
          </cell>
          <cell r="V52">
            <v>8.1129764507043127</v>
          </cell>
          <cell r="W52">
            <v>9.4288954219858834</v>
          </cell>
        </row>
        <row r="54">
          <cell r="B54" t="str">
            <v>(*) En los períodos incompletos las tasas están calculadas sobre los meses para los que existe información.</v>
          </cell>
          <cell r="C54">
            <v>37523.866999999998</v>
          </cell>
          <cell r="D54">
            <v>40255.593000000001</v>
          </cell>
          <cell r="E54">
            <v>43801.373</v>
          </cell>
          <cell r="F54">
            <v>47732.122987765266</v>
          </cell>
          <cell r="H54">
            <v>7.577310896500622</v>
          </cell>
          <cell r="I54">
            <v>6.9620727497741175</v>
          </cell>
          <cell r="J54">
            <v>7.3899720304134053</v>
          </cell>
          <cell r="K54">
            <v>7.2216730090459258</v>
          </cell>
          <cell r="L54">
            <v>8.6608371898861503</v>
          </cell>
          <cell r="M54">
            <v>8.9913650291911331</v>
          </cell>
          <cell r="N54">
            <v>8.3825283394244323</v>
          </cell>
          <cell r="O54">
            <v>9.1511988678584011</v>
          </cell>
          <cell r="P54">
            <v>10.433206874302293</v>
          </cell>
          <cell r="Q54">
            <v>8.9569804690719845</v>
          </cell>
          <cell r="R54">
            <v>8.9289283838605016</v>
          </cell>
          <cell r="S54">
            <v>7.8739028312289516</v>
          </cell>
          <cell r="U54">
            <v>7.2799693059353467</v>
          </cell>
          <cell r="V54">
            <v>8.8081673520496864</v>
          </cell>
          <cell r="W54">
            <v>9.6615546969173174</v>
          </cell>
        </row>
        <row r="55">
          <cell r="B55" t="str">
            <v>(1) Salarios privados (inc.consejeros)+profesionales+premios.</v>
          </cell>
          <cell r="C55">
            <v>21497.79339170552</v>
          </cell>
          <cell r="D55">
            <v>23340.580849036469</v>
          </cell>
          <cell r="E55">
            <v>25622.003747593259</v>
          </cell>
          <cell r="F55">
            <v>28087.642549776843</v>
          </cell>
          <cell r="H55">
            <v>8.5743843286296251</v>
          </cell>
          <cell r="I55">
            <v>8.5193075512142169</v>
          </cell>
          <cell r="J55">
            <v>8.1535678045310931</v>
          </cell>
          <cell r="K55">
            <v>8.9957216003992535</v>
          </cell>
          <cell r="L55">
            <v>9.4268959221906368</v>
          </cell>
          <cell r="M55">
            <v>9.7779453248345138</v>
          </cell>
          <cell r="N55">
            <v>9.8128200140332069</v>
          </cell>
          <cell r="O55">
            <v>10.020591334970019</v>
          </cell>
          <cell r="P55">
            <v>11.009363830031727</v>
          </cell>
          <cell r="Q55">
            <v>9.975500069016352</v>
          </cell>
          <cell r="R55">
            <v>9.2272210169545676</v>
          </cell>
          <cell r="S55">
            <v>8.5518850012994427</v>
          </cell>
          <cell r="U55">
            <v>8.5719842206779724</v>
          </cell>
          <cell r="V55">
            <v>9.7744906749009637</v>
          </cell>
          <cell r="W55">
            <v>10.477925954063917</v>
          </cell>
        </row>
        <row r="56">
          <cell r="B56" t="str">
            <v>(2) Salarios públicos+pensiones+desempleo.</v>
          </cell>
          <cell r="C56">
            <v>16026.073608294479</v>
          </cell>
          <cell r="D56">
            <v>16915.012150963539</v>
          </cell>
          <cell r="E56">
            <v>18179.369252406737</v>
          </cell>
          <cell r="F56">
            <v>19644.480437988408</v>
          </cell>
          <cell r="H56">
            <v>6.155721274600956</v>
          </cell>
          <cell r="I56">
            <v>4.9427336312659609</v>
          </cell>
          <cell r="J56">
            <v>6.3678290388660352</v>
          </cell>
          <cell r="K56">
            <v>4.8811379298713709</v>
          </cell>
          <cell r="L56">
            <v>7.5437343975227611</v>
          </cell>
          <cell r="M56">
            <v>7.936606947896796</v>
          </cell>
          <cell r="N56">
            <v>6.4358091723173416</v>
          </cell>
          <cell r="O56">
            <v>7.9591952412216616</v>
          </cell>
          <cell r="P56">
            <v>9.5783156752450296</v>
          </cell>
          <cell r="Q56">
            <v>7.5679060106211393</v>
          </cell>
          <cell r="R56">
            <v>8.5100513976291925</v>
          </cell>
          <cell r="S56">
            <v>6.9265880520296585</v>
          </cell>
          <cell r="U56">
            <v>5.5468267798856248</v>
          </cell>
          <cell r="V56">
            <v>7.4747631876290193</v>
          </cell>
          <cell r="W56">
            <v>8.5026387488475805</v>
          </cell>
        </row>
        <row r="57">
          <cell r="B57" t="str">
            <v>(3) Incluye los ingresos de las Corporaciones Locales.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esl"/>
      <sheetName val="#¡REF"/>
      <sheetName val="G34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Ingresos Tributarios"/>
      <sheetName val="Devoluciones"/>
      <sheetName val="Minoraciones"/>
      <sheetName val="Ingresos Brutos"/>
      <sheetName val="INGRESOS TRIBUTARIOS (detalle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EC31-0F64-41B6-A756-99909EEA661F}">
  <sheetPr>
    <pageSetUpPr fitToPage="1"/>
  </sheetPr>
  <dimension ref="A1:BV71"/>
  <sheetViews>
    <sheetView tabSelected="1" zoomScale="90" zoomScaleNormal="90" workbookViewId="0">
      <pane xSplit="2" ySplit="7" topLeftCell="AC8" activePane="bottomRight" state="frozen"/>
      <selection pane="topRight"/>
      <selection pane="bottomLeft"/>
      <selection pane="bottomRight"/>
    </sheetView>
  </sheetViews>
  <sheetFormatPr baseColWidth="10" defaultRowHeight="14.25"/>
  <cols>
    <col min="1" max="1" width="3.25" customWidth="1"/>
    <col min="2" max="2" width="45" style="1" customWidth="1"/>
    <col min="3" max="24" width="9.25" style="1" customWidth="1"/>
    <col min="25" max="33" width="9.25" style="2" customWidth="1"/>
    <col min="34" max="34" width="1.375" style="1" customWidth="1"/>
    <col min="35" max="59" width="5.75" style="1" hidden="1" customWidth="1"/>
    <col min="60" max="64" width="5.75" style="1" customWidth="1"/>
    <col min="65" max="65" width="1.25" style="1" customWidth="1"/>
    <col min="66" max="268" width="11" style="1"/>
    <col min="269" max="269" width="2.125" style="1" customWidth="1"/>
    <col min="270" max="270" width="42.5" style="1" customWidth="1"/>
    <col min="271" max="287" width="10" style="1" customWidth="1"/>
    <col min="288" max="293" width="9.25" style="1" customWidth="1"/>
    <col min="294" max="295" width="10" style="1" customWidth="1"/>
    <col min="296" max="296" width="1.375" style="1" customWidth="1"/>
    <col min="297" max="312" width="10" style="1" customWidth="1"/>
    <col min="313" max="318" width="5.75" style="1" customWidth="1"/>
    <col min="319" max="320" width="10" style="1" customWidth="1"/>
    <col min="321" max="321" width="1.25" style="1" customWidth="1"/>
    <col min="322" max="524" width="11" style="1"/>
    <col min="525" max="525" width="2.125" style="1" customWidth="1"/>
    <col min="526" max="526" width="42.5" style="1" customWidth="1"/>
    <col min="527" max="543" width="10" style="1" customWidth="1"/>
    <col min="544" max="549" width="9.25" style="1" customWidth="1"/>
    <col min="550" max="551" width="10" style="1" customWidth="1"/>
    <col min="552" max="552" width="1.375" style="1" customWidth="1"/>
    <col min="553" max="568" width="10" style="1" customWidth="1"/>
    <col min="569" max="574" width="5.75" style="1" customWidth="1"/>
    <col min="575" max="576" width="10" style="1" customWidth="1"/>
    <col min="577" max="577" width="1.25" style="1" customWidth="1"/>
    <col min="578" max="780" width="11" style="1"/>
    <col min="781" max="781" width="2.125" style="1" customWidth="1"/>
    <col min="782" max="782" width="42.5" style="1" customWidth="1"/>
    <col min="783" max="799" width="10" style="1" customWidth="1"/>
    <col min="800" max="805" width="9.25" style="1" customWidth="1"/>
    <col min="806" max="807" width="10" style="1" customWidth="1"/>
    <col min="808" max="808" width="1.375" style="1" customWidth="1"/>
    <col min="809" max="824" width="10" style="1" customWidth="1"/>
    <col min="825" max="830" width="5.75" style="1" customWidth="1"/>
    <col min="831" max="832" width="10" style="1" customWidth="1"/>
    <col min="833" max="833" width="1.25" style="1" customWidth="1"/>
    <col min="834" max="1036" width="11" style="1"/>
    <col min="1037" max="1037" width="2.125" style="1" customWidth="1"/>
    <col min="1038" max="1038" width="42.5" style="1" customWidth="1"/>
    <col min="1039" max="1055" width="10" style="1" customWidth="1"/>
    <col min="1056" max="1061" width="9.25" style="1" customWidth="1"/>
    <col min="1062" max="1063" width="10" style="1" customWidth="1"/>
    <col min="1064" max="1064" width="1.375" style="1" customWidth="1"/>
    <col min="1065" max="1080" width="10" style="1" customWidth="1"/>
    <col min="1081" max="1086" width="5.75" style="1" customWidth="1"/>
    <col min="1087" max="1088" width="10" style="1" customWidth="1"/>
    <col min="1089" max="1089" width="1.25" style="1" customWidth="1"/>
    <col min="1090" max="1292" width="11" style="1"/>
    <col min="1293" max="1293" width="2.125" style="1" customWidth="1"/>
    <col min="1294" max="1294" width="42.5" style="1" customWidth="1"/>
    <col min="1295" max="1311" width="10" style="1" customWidth="1"/>
    <col min="1312" max="1317" width="9.25" style="1" customWidth="1"/>
    <col min="1318" max="1319" width="10" style="1" customWidth="1"/>
    <col min="1320" max="1320" width="1.375" style="1" customWidth="1"/>
    <col min="1321" max="1336" width="10" style="1" customWidth="1"/>
    <col min="1337" max="1342" width="5.75" style="1" customWidth="1"/>
    <col min="1343" max="1344" width="10" style="1" customWidth="1"/>
    <col min="1345" max="1345" width="1.25" style="1" customWidth="1"/>
    <col min="1346" max="1548" width="11" style="1"/>
    <col min="1549" max="1549" width="2.125" style="1" customWidth="1"/>
    <col min="1550" max="1550" width="42.5" style="1" customWidth="1"/>
    <col min="1551" max="1567" width="10" style="1" customWidth="1"/>
    <col min="1568" max="1573" width="9.25" style="1" customWidth="1"/>
    <col min="1574" max="1575" width="10" style="1" customWidth="1"/>
    <col min="1576" max="1576" width="1.375" style="1" customWidth="1"/>
    <col min="1577" max="1592" width="10" style="1" customWidth="1"/>
    <col min="1593" max="1598" width="5.75" style="1" customWidth="1"/>
    <col min="1599" max="1600" width="10" style="1" customWidth="1"/>
    <col min="1601" max="1601" width="1.25" style="1" customWidth="1"/>
    <col min="1602" max="1804" width="11" style="1"/>
    <col min="1805" max="1805" width="2.125" style="1" customWidth="1"/>
    <col min="1806" max="1806" width="42.5" style="1" customWidth="1"/>
    <col min="1807" max="1823" width="10" style="1" customWidth="1"/>
    <col min="1824" max="1829" width="9.25" style="1" customWidth="1"/>
    <col min="1830" max="1831" width="10" style="1" customWidth="1"/>
    <col min="1832" max="1832" width="1.375" style="1" customWidth="1"/>
    <col min="1833" max="1848" width="10" style="1" customWidth="1"/>
    <col min="1849" max="1854" width="5.75" style="1" customWidth="1"/>
    <col min="1855" max="1856" width="10" style="1" customWidth="1"/>
    <col min="1857" max="1857" width="1.25" style="1" customWidth="1"/>
    <col min="1858" max="2060" width="11" style="1"/>
    <col min="2061" max="2061" width="2.125" style="1" customWidth="1"/>
    <col min="2062" max="2062" width="42.5" style="1" customWidth="1"/>
    <col min="2063" max="2079" width="10" style="1" customWidth="1"/>
    <col min="2080" max="2085" width="9.25" style="1" customWidth="1"/>
    <col min="2086" max="2087" width="10" style="1" customWidth="1"/>
    <col min="2088" max="2088" width="1.375" style="1" customWidth="1"/>
    <col min="2089" max="2104" width="10" style="1" customWidth="1"/>
    <col min="2105" max="2110" width="5.75" style="1" customWidth="1"/>
    <col min="2111" max="2112" width="10" style="1" customWidth="1"/>
    <col min="2113" max="2113" width="1.25" style="1" customWidth="1"/>
    <col min="2114" max="2316" width="11" style="1"/>
    <col min="2317" max="2317" width="2.125" style="1" customWidth="1"/>
    <col min="2318" max="2318" width="42.5" style="1" customWidth="1"/>
    <col min="2319" max="2335" width="10" style="1" customWidth="1"/>
    <col min="2336" max="2341" width="9.25" style="1" customWidth="1"/>
    <col min="2342" max="2343" width="10" style="1" customWidth="1"/>
    <col min="2344" max="2344" width="1.375" style="1" customWidth="1"/>
    <col min="2345" max="2360" width="10" style="1" customWidth="1"/>
    <col min="2361" max="2366" width="5.75" style="1" customWidth="1"/>
    <col min="2367" max="2368" width="10" style="1" customWidth="1"/>
    <col min="2369" max="2369" width="1.25" style="1" customWidth="1"/>
    <col min="2370" max="2572" width="11" style="1"/>
    <col min="2573" max="2573" width="2.125" style="1" customWidth="1"/>
    <col min="2574" max="2574" width="42.5" style="1" customWidth="1"/>
    <col min="2575" max="2591" width="10" style="1" customWidth="1"/>
    <col min="2592" max="2597" width="9.25" style="1" customWidth="1"/>
    <col min="2598" max="2599" width="10" style="1" customWidth="1"/>
    <col min="2600" max="2600" width="1.375" style="1" customWidth="1"/>
    <col min="2601" max="2616" width="10" style="1" customWidth="1"/>
    <col min="2617" max="2622" width="5.75" style="1" customWidth="1"/>
    <col min="2623" max="2624" width="10" style="1" customWidth="1"/>
    <col min="2625" max="2625" width="1.25" style="1" customWidth="1"/>
    <col min="2626" max="2828" width="11" style="1"/>
    <col min="2829" max="2829" width="2.125" style="1" customWidth="1"/>
    <col min="2830" max="2830" width="42.5" style="1" customWidth="1"/>
    <col min="2831" max="2847" width="10" style="1" customWidth="1"/>
    <col min="2848" max="2853" width="9.25" style="1" customWidth="1"/>
    <col min="2854" max="2855" width="10" style="1" customWidth="1"/>
    <col min="2856" max="2856" width="1.375" style="1" customWidth="1"/>
    <col min="2857" max="2872" width="10" style="1" customWidth="1"/>
    <col min="2873" max="2878" width="5.75" style="1" customWidth="1"/>
    <col min="2879" max="2880" width="10" style="1" customWidth="1"/>
    <col min="2881" max="2881" width="1.25" style="1" customWidth="1"/>
    <col min="2882" max="3084" width="11" style="1"/>
    <col min="3085" max="3085" width="2.125" style="1" customWidth="1"/>
    <col min="3086" max="3086" width="42.5" style="1" customWidth="1"/>
    <col min="3087" max="3103" width="10" style="1" customWidth="1"/>
    <col min="3104" max="3109" width="9.25" style="1" customWidth="1"/>
    <col min="3110" max="3111" width="10" style="1" customWidth="1"/>
    <col min="3112" max="3112" width="1.375" style="1" customWidth="1"/>
    <col min="3113" max="3128" width="10" style="1" customWidth="1"/>
    <col min="3129" max="3134" width="5.75" style="1" customWidth="1"/>
    <col min="3135" max="3136" width="10" style="1" customWidth="1"/>
    <col min="3137" max="3137" width="1.25" style="1" customWidth="1"/>
    <col min="3138" max="3340" width="11" style="1"/>
    <col min="3341" max="3341" width="2.125" style="1" customWidth="1"/>
    <col min="3342" max="3342" width="42.5" style="1" customWidth="1"/>
    <col min="3343" max="3359" width="10" style="1" customWidth="1"/>
    <col min="3360" max="3365" width="9.25" style="1" customWidth="1"/>
    <col min="3366" max="3367" width="10" style="1" customWidth="1"/>
    <col min="3368" max="3368" width="1.375" style="1" customWidth="1"/>
    <col min="3369" max="3384" width="10" style="1" customWidth="1"/>
    <col min="3385" max="3390" width="5.75" style="1" customWidth="1"/>
    <col min="3391" max="3392" width="10" style="1" customWidth="1"/>
    <col min="3393" max="3393" width="1.25" style="1" customWidth="1"/>
    <col min="3394" max="3596" width="11" style="1"/>
    <col min="3597" max="3597" width="2.125" style="1" customWidth="1"/>
    <col min="3598" max="3598" width="42.5" style="1" customWidth="1"/>
    <col min="3599" max="3615" width="10" style="1" customWidth="1"/>
    <col min="3616" max="3621" width="9.25" style="1" customWidth="1"/>
    <col min="3622" max="3623" width="10" style="1" customWidth="1"/>
    <col min="3624" max="3624" width="1.375" style="1" customWidth="1"/>
    <col min="3625" max="3640" width="10" style="1" customWidth="1"/>
    <col min="3641" max="3646" width="5.75" style="1" customWidth="1"/>
    <col min="3647" max="3648" width="10" style="1" customWidth="1"/>
    <col min="3649" max="3649" width="1.25" style="1" customWidth="1"/>
    <col min="3650" max="3852" width="11" style="1"/>
    <col min="3853" max="3853" width="2.125" style="1" customWidth="1"/>
    <col min="3854" max="3854" width="42.5" style="1" customWidth="1"/>
    <col min="3855" max="3871" width="10" style="1" customWidth="1"/>
    <col min="3872" max="3877" width="9.25" style="1" customWidth="1"/>
    <col min="3878" max="3879" width="10" style="1" customWidth="1"/>
    <col min="3880" max="3880" width="1.375" style="1" customWidth="1"/>
    <col min="3881" max="3896" width="10" style="1" customWidth="1"/>
    <col min="3897" max="3902" width="5.75" style="1" customWidth="1"/>
    <col min="3903" max="3904" width="10" style="1" customWidth="1"/>
    <col min="3905" max="3905" width="1.25" style="1" customWidth="1"/>
    <col min="3906" max="4108" width="11" style="1"/>
    <col min="4109" max="4109" width="2.125" style="1" customWidth="1"/>
    <col min="4110" max="4110" width="42.5" style="1" customWidth="1"/>
    <col min="4111" max="4127" width="10" style="1" customWidth="1"/>
    <col min="4128" max="4133" width="9.25" style="1" customWidth="1"/>
    <col min="4134" max="4135" width="10" style="1" customWidth="1"/>
    <col min="4136" max="4136" width="1.375" style="1" customWidth="1"/>
    <col min="4137" max="4152" width="10" style="1" customWidth="1"/>
    <col min="4153" max="4158" width="5.75" style="1" customWidth="1"/>
    <col min="4159" max="4160" width="10" style="1" customWidth="1"/>
    <col min="4161" max="4161" width="1.25" style="1" customWidth="1"/>
    <col min="4162" max="4364" width="11" style="1"/>
    <col min="4365" max="4365" width="2.125" style="1" customWidth="1"/>
    <col min="4366" max="4366" width="42.5" style="1" customWidth="1"/>
    <col min="4367" max="4383" width="10" style="1" customWidth="1"/>
    <col min="4384" max="4389" width="9.25" style="1" customWidth="1"/>
    <col min="4390" max="4391" width="10" style="1" customWidth="1"/>
    <col min="4392" max="4392" width="1.375" style="1" customWidth="1"/>
    <col min="4393" max="4408" width="10" style="1" customWidth="1"/>
    <col min="4409" max="4414" width="5.75" style="1" customWidth="1"/>
    <col min="4415" max="4416" width="10" style="1" customWidth="1"/>
    <col min="4417" max="4417" width="1.25" style="1" customWidth="1"/>
    <col min="4418" max="4620" width="11" style="1"/>
    <col min="4621" max="4621" width="2.125" style="1" customWidth="1"/>
    <col min="4622" max="4622" width="42.5" style="1" customWidth="1"/>
    <col min="4623" max="4639" width="10" style="1" customWidth="1"/>
    <col min="4640" max="4645" width="9.25" style="1" customWidth="1"/>
    <col min="4646" max="4647" width="10" style="1" customWidth="1"/>
    <col min="4648" max="4648" width="1.375" style="1" customWidth="1"/>
    <col min="4649" max="4664" width="10" style="1" customWidth="1"/>
    <col min="4665" max="4670" width="5.75" style="1" customWidth="1"/>
    <col min="4671" max="4672" width="10" style="1" customWidth="1"/>
    <col min="4673" max="4673" width="1.25" style="1" customWidth="1"/>
    <col min="4674" max="4876" width="11" style="1"/>
    <col min="4877" max="4877" width="2.125" style="1" customWidth="1"/>
    <col min="4878" max="4878" width="42.5" style="1" customWidth="1"/>
    <col min="4879" max="4895" width="10" style="1" customWidth="1"/>
    <col min="4896" max="4901" width="9.25" style="1" customWidth="1"/>
    <col min="4902" max="4903" width="10" style="1" customWidth="1"/>
    <col min="4904" max="4904" width="1.375" style="1" customWidth="1"/>
    <col min="4905" max="4920" width="10" style="1" customWidth="1"/>
    <col min="4921" max="4926" width="5.75" style="1" customWidth="1"/>
    <col min="4927" max="4928" width="10" style="1" customWidth="1"/>
    <col min="4929" max="4929" width="1.25" style="1" customWidth="1"/>
    <col min="4930" max="5132" width="11" style="1"/>
    <col min="5133" max="5133" width="2.125" style="1" customWidth="1"/>
    <col min="5134" max="5134" width="42.5" style="1" customWidth="1"/>
    <col min="5135" max="5151" width="10" style="1" customWidth="1"/>
    <col min="5152" max="5157" width="9.25" style="1" customWidth="1"/>
    <col min="5158" max="5159" width="10" style="1" customWidth="1"/>
    <col min="5160" max="5160" width="1.375" style="1" customWidth="1"/>
    <col min="5161" max="5176" width="10" style="1" customWidth="1"/>
    <col min="5177" max="5182" width="5.75" style="1" customWidth="1"/>
    <col min="5183" max="5184" width="10" style="1" customWidth="1"/>
    <col min="5185" max="5185" width="1.25" style="1" customWidth="1"/>
    <col min="5186" max="5388" width="11" style="1"/>
    <col min="5389" max="5389" width="2.125" style="1" customWidth="1"/>
    <col min="5390" max="5390" width="42.5" style="1" customWidth="1"/>
    <col min="5391" max="5407" width="10" style="1" customWidth="1"/>
    <col min="5408" max="5413" width="9.25" style="1" customWidth="1"/>
    <col min="5414" max="5415" width="10" style="1" customWidth="1"/>
    <col min="5416" max="5416" width="1.375" style="1" customWidth="1"/>
    <col min="5417" max="5432" width="10" style="1" customWidth="1"/>
    <col min="5433" max="5438" width="5.75" style="1" customWidth="1"/>
    <col min="5439" max="5440" width="10" style="1" customWidth="1"/>
    <col min="5441" max="5441" width="1.25" style="1" customWidth="1"/>
    <col min="5442" max="5644" width="11" style="1"/>
    <col min="5645" max="5645" width="2.125" style="1" customWidth="1"/>
    <col min="5646" max="5646" width="42.5" style="1" customWidth="1"/>
    <col min="5647" max="5663" width="10" style="1" customWidth="1"/>
    <col min="5664" max="5669" width="9.25" style="1" customWidth="1"/>
    <col min="5670" max="5671" width="10" style="1" customWidth="1"/>
    <col min="5672" max="5672" width="1.375" style="1" customWidth="1"/>
    <col min="5673" max="5688" width="10" style="1" customWidth="1"/>
    <col min="5689" max="5694" width="5.75" style="1" customWidth="1"/>
    <col min="5695" max="5696" width="10" style="1" customWidth="1"/>
    <col min="5697" max="5697" width="1.25" style="1" customWidth="1"/>
    <col min="5698" max="5900" width="11" style="1"/>
    <col min="5901" max="5901" width="2.125" style="1" customWidth="1"/>
    <col min="5902" max="5902" width="42.5" style="1" customWidth="1"/>
    <col min="5903" max="5919" width="10" style="1" customWidth="1"/>
    <col min="5920" max="5925" width="9.25" style="1" customWidth="1"/>
    <col min="5926" max="5927" width="10" style="1" customWidth="1"/>
    <col min="5928" max="5928" width="1.375" style="1" customWidth="1"/>
    <col min="5929" max="5944" width="10" style="1" customWidth="1"/>
    <col min="5945" max="5950" width="5.75" style="1" customWidth="1"/>
    <col min="5951" max="5952" width="10" style="1" customWidth="1"/>
    <col min="5953" max="5953" width="1.25" style="1" customWidth="1"/>
    <col min="5954" max="6156" width="11" style="1"/>
    <col min="6157" max="6157" width="2.125" style="1" customWidth="1"/>
    <col min="6158" max="6158" width="42.5" style="1" customWidth="1"/>
    <col min="6159" max="6175" width="10" style="1" customWidth="1"/>
    <col min="6176" max="6181" width="9.25" style="1" customWidth="1"/>
    <col min="6182" max="6183" width="10" style="1" customWidth="1"/>
    <col min="6184" max="6184" width="1.375" style="1" customWidth="1"/>
    <col min="6185" max="6200" width="10" style="1" customWidth="1"/>
    <col min="6201" max="6206" width="5.75" style="1" customWidth="1"/>
    <col min="6207" max="6208" width="10" style="1" customWidth="1"/>
    <col min="6209" max="6209" width="1.25" style="1" customWidth="1"/>
    <col min="6210" max="6412" width="11" style="1"/>
    <col min="6413" max="6413" width="2.125" style="1" customWidth="1"/>
    <col min="6414" max="6414" width="42.5" style="1" customWidth="1"/>
    <col min="6415" max="6431" width="10" style="1" customWidth="1"/>
    <col min="6432" max="6437" width="9.25" style="1" customWidth="1"/>
    <col min="6438" max="6439" width="10" style="1" customWidth="1"/>
    <col min="6440" max="6440" width="1.375" style="1" customWidth="1"/>
    <col min="6441" max="6456" width="10" style="1" customWidth="1"/>
    <col min="6457" max="6462" width="5.75" style="1" customWidth="1"/>
    <col min="6463" max="6464" width="10" style="1" customWidth="1"/>
    <col min="6465" max="6465" width="1.25" style="1" customWidth="1"/>
    <col min="6466" max="6668" width="11" style="1"/>
    <col min="6669" max="6669" width="2.125" style="1" customWidth="1"/>
    <col min="6670" max="6670" width="42.5" style="1" customWidth="1"/>
    <col min="6671" max="6687" width="10" style="1" customWidth="1"/>
    <col min="6688" max="6693" width="9.25" style="1" customWidth="1"/>
    <col min="6694" max="6695" width="10" style="1" customWidth="1"/>
    <col min="6696" max="6696" width="1.375" style="1" customWidth="1"/>
    <col min="6697" max="6712" width="10" style="1" customWidth="1"/>
    <col min="6713" max="6718" width="5.75" style="1" customWidth="1"/>
    <col min="6719" max="6720" width="10" style="1" customWidth="1"/>
    <col min="6721" max="6721" width="1.25" style="1" customWidth="1"/>
    <col min="6722" max="6924" width="11" style="1"/>
    <col min="6925" max="6925" width="2.125" style="1" customWidth="1"/>
    <col min="6926" max="6926" width="42.5" style="1" customWidth="1"/>
    <col min="6927" max="6943" width="10" style="1" customWidth="1"/>
    <col min="6944" max="6949" width="9.25" style="1" customWidth="1"/>
    <col min="6950" max="6951" width="10" style="1" customWidth="1"/>
    <col min="6952" max="6952" width="1.375" style="1" customWidth="1"/>
    <col min="6953" max="6968" width="10" style="1" customWidth="1"/>
    <col min="6969" max="6974" width="5.75" style="1" customWidth="1"/>
    <col min="6975" max="6976" width="10" style="1" customWidth="1"/>
    <col min="6977" max="6977" width="1.25" style="1" customWidth="1"/>
    <col min="6978" max="7180" width="11" style="1"/>
    <col min="7181" max="7181" width="2.125" style="1" customWidth="1"/>
    <col min="7182" max="7182" width="42.5" style="1" customWidth="1"/>
    <col min="7183" max="7199" width="10" style="1" customWidth="1"/>
    <col min="7200" max="7205" width="9.25" style="1" customWidth="1"/>
    <col min="7206" max="7207" width="10" style="1" customWidth="1"/>
    <col min="7208" max="7208" width="1.375" style="1" customWidth="1"/>
    <col min="7209" max="7224" width="10" style="1" customWidth="1"/>
    <col min="7225" max="7230" width="5.75" style="1" customWidth="1"/>
    <col min="7231" max="7232" width="10" style="1" customWidth="1"/>
    <col min="7233" max="7233" width="1.25" style="1" customWidth="1"/>
    <col min="7234" max="7436" width="11" style="1"/>
    <col min="7437" max="7437" width="2.125" style="1" customWidth="1"/>
    <col min="7438" max="7438" width="42.5" style="1" customWidth="1"/>
    <col min="7439" max="7455" width="10" style="1" customWidth="1"/>
    <col min="7456" max="7461" width="9.25" style="1" customWidth="1"/>
    <col min="7462" max="7463" width="10" style="1" customWidth="1"/>
    <col min="7464" max="7464" width="1.375" style="1" customWidth="1"/>
    <col min="7465" max="7480" width="10" style="1" customWidth="1"/>
    <col min="7481" max="7486" width="5.75" style="1" customWidth="1"/>
    <col min="7487" max="7488" width="10" style="1" customWidth="1"/>
    <col min="7489" max="7489" width="1.25" style="1" customWidth="1"/>
    <col min="7490" max="7692" width="11" style="1"/>
    <col min="7693" max="7693" width="2.125" style="1" customWidth="1"/>
    <col min="7694" max="7694" width="42.5" style="1" customWidth="1"/>
    <col min="7695" max="7711" width="10" style="1" customWidth="1"/>
    <col min="7712" max="7717" width="9.25" style="1" customWidth="1"/>
    <col min="7718" max="7719" width="10" style="1" customWidth="1"/>
    <col min="7720" max="7720" width="1.375" style="1" customWidth="1"/>
    <col min="7721" max="7736" width="10" style="1" customWidth="1"/>
    <col min="7737" max="7742" width="5.75" style="1" customWidth="1"/>
    <col min="7743" max="7744" width="10" style="1" customWidth="1"/>
    <col min="7745" max="7745" width="1.25" style="1" customWidth="1"/>
    <col min="7746" max="7948" width="11" style="1"/>
    <col min="7949" max="7949" width="2.125" style="1" customWidth="1"/>
    <col min="7950" max="7950" width="42.5" style="1" customWidth="1"/>
    <col min="7951" max="7967" width="10" style="1" customWidth="1"/>
    <col min="7968" max="7973" width="9.25" style="1" customWidth="1"/>
    <col min="7974" max="7975" width="10" style="1" customWidth="1"/>
    <col min="7976" max="7976" width="1.375" style="1" customWidth="1"/>
    <col min="7977" max="7992" width="10" style="1" customWidth="1"/>
    <col min="7993" max="7998" width="5.75" style="1" customWidth="1"/>
    <col min="7999" max="8000" width="10" style="1" customWidth="1"/>
    <col min="8001" max="8001" width="1.25" style="1" customWidth="1"/>
    <col min="8002" max="8204" width="11" style="1"/>
    <col min="8205" max="8205" width="2.125" style="1" customWidth="1"/>
    <col min="8206" max="8206" width="42.5" style="1" customWidth="1"/>
    <col min="8207" max="8223" width="10" style="1" customWidth="1"/>
    <col min="8224" max="8229" width="9.25" style="1" customWidth="1"/>
    <col min="8230" max="8231" width="10" style="1" customWidth="1"/>
    <col min="8232" max="8232" width="1.375" style="1" customWidth="1"/>
    <col min="8233" max="8248" width="10" style="1" customWidth="1"/>
    <col min="8249" max="8254" width="5.75" style="1" customWidth="1"/>
    <col min="8255" max="8256" width="10" style="1" customWidth="1"/>
    <col min="8257" max="8257" width="1.25" style="1" customWidth="1"/>
    <col min="8258" max="8460" width="11" style="1"/>
    <col min="8461" max="8461" width="2.125" style="1" customWidth="1"/>
    <col min="8462" max="8462" width="42.5" style="1" customWidth="1"/>
    <col min="8463" max="8479" width="10" style="1" customWidth="1"/>
    <col min="8480" max="8485" width="9.25" style="1" customWidth="1"/>
    <col min="8486" max="8487" width="10" style="1" customWidth="1"/>
    <col min="8488" max="8488" width="1.375" style="1" customWidth="1"/>
    <col min="8489" max="8504" width="10" style="1" customWidth="1"/>
    <col min="8505" max="8510" width="5.75" style="1" customWidth="1"/>
    <col min="8511" max="8512" width="10" style="1" customWidth="1"/>
    <col min="8513" max="8513" width="1.25" style="1" customWidth="1"/>
    <col min="8514" max="8716" width="11" style="1"/>
    <col min="8717" max="8717" width="2.125" style="1" customWidth="1"/>
    <col min="8718" max="8718" width="42.5" style="1" customWidth="1"/>
    <col min="8719" max="8735" width="10" style="1" customWidth="1"/>
    <col min="8736" max="8741" width="9.25" style="1" customWidth="1"/>
    <col min="8742" max="8743" width="10" style="1" customWidth="1"/>
    <col min="8744" max="8744" width="1.375" style="1" customWidth="1"/>
    <col min="8745" max="8760" width="10" style="1" customWidth="1"/>
    <col min="8761" max="8766" width="5.75" style="1" customWidth="1"/>
    <col min="8767" max="8768" width="10" style="1" customWidth="1"/>
    <col min="8769" max="8769" width="1.25" style="1" customWidth="1"/>
    <col min="8770" max="8972" width="11" style="1"/>
    <col min="8973" max="8973" width="2.125" style="1" customWidth="1"/>
    <col min="8974" max="8974" width="42.5" style="1" customWidth="1"/>
    <col min="8975" max="8991" width="10" style="1" customWidth="1"/>
    <col min="8992" max="8997" width="9.25" style="1" customWidth="1"/>
    <col min="8998" max="8999" width="10" style="1" customWidth="1"/>
    <col min="9000" max="9000" width="1.375" style="1" customWidth="1"/>
    <col min="9001" max="9016" width="10" style="1" customWidth="1"/>
    <col min="9017" max="9022" width="5.75" style="1" customWidth="1"/>
    <col min="9023" max="9024" width="10" style="1" customWidth="1"/>
    <col min="9025" max="9025" width="1.25" style="1" customWidth="1"/>
    <col min="9026" max="9228" width="11" style="1"/>
    <col min="9229" max="9229" width="2.125" style="1" customWidth="1"/>
    <col min="9230" max="9230" width="42.5" style="1" customWidth="1"/>
    <col min="9231" max="9247" width="10" style="1" customWidth="1"/>
    <col min="9248" max="9253" width="9.25" style="1" customWidth="1"/>
    <col min="9254" max="9255" width="10" style="1" customWidth="1"/>
    <col min="9256" max="9256" width="1.375" style="1" customWidth="1"/>
    <col min="9257" max="9272" width="10" style="1" customWidth="1"/>
    <col min="9273" max="9278" width="5.75" style="1" customWidth="1"/>
    <col min="9279" max="9280" width="10" style="1" customWidth="1"/>
    <col min="9281" max="9281" width="1.25" style="1" customWidth="1"/>
    <col min="9282" max="9484" width="11" style="1"/>
    <col min="9485" max="9485" width="2.125" style="1" customWidth="1"/>
    <col min="9486" max="9486" width="42.5" style="1" customWidth="1"/>
    <col min="9487" max="9503" width="10" style="1" customWidth="1"/>
    <col min="9504" max="9509" width="9.25" style="1" customWidth="1"/>
    <col min="9510" max="9511" width="10" style="1" customWidth="1"/>
    <col min="9512" max="9512" width="1.375" style="1" customWidth="1"/>
    <col min="9513" max="9528" width="10" style="1" customWidth="1"/>
    <col min="9529" max="9534" width="5.75" style="1" customWidth="1"/>
    <col min="9535" max="9536" width="10" style="1" customWidth="1"/>
    <col min="9537" max="9537" width="1.25" style="1" customWidth="1"/>
    <col min="9538" max="9740" width="11" style="1"/>
    <col min="9741" max="9741" width="2.125" style="1" customWidth="1"/>
    <col min="9742" max="9742" width="42.5" style="1" customWidth="1"/>
    <col min="9743" max="9759" width="10" style="1" customWidth="1"/>
    <col min="9760" max="9765" width="9.25" style="1" customWidth="1"/>
    <col min="9766" max="9767" width="10" style="1" customWidth="1"/>
    <col min="9768" max="9768" width="1.375" style="1" customWidth="1"/>
    <col min="9769" max="9784" width="10" style="1" customWidth="1"/>
    <col min="9785" max="9790" width="5.75" style="1" customWidth="1"/>
    <col min="9791" max="9792" width="10" style="1" customWidth="1"/>
    <col min="9793" max="9793" width="1.25" style="1" customWidth="1"/>
    <col min="9794" max="9996" width="11" style="1"/>
    <col min="9997" max="9997" width="2.125" style="1" customWidth="1"/>
    <col min="9998" max="9998" width="42.5" style="1" customWidth="1"/>
    <col min="9999" max="10015" width="10" style="1" customWidth="1"/>
    <col min="10016" max="10021" width="9.25" style="1" customWidth="1"/>
    <col min="10022" max="10023" width="10" style="1" customWidth="1"/>
    <col min="10024" max="10024" width="1.375" style="1" customWidth="1"/>
    <col min="10025" max="10040" width="10" style="1" customWidth="1"/>
    <col min="10041" max="10046" width="5.75" style="1" customWidth="1"/>
    <col min="10047" max="10048" width="10" style="1" customWidth="1"/>
    <col min="10049" max="10049" width="1.25" style="1" customWidth="1"/>
    <col min="10050" max="10252" width="11" style="1"/>
    <col min="10253" max="10253" width="2.125" style="1" customWidth="1"/>
    <col min="10254" max="10254" width="42.5" style="1" customWidth="1"/>
    <col min="10255" max="10271" width="10" style="1" customWidth="1"/>
    <col min="10272" max="10277" width="9.25" style="1" customWidth="1"/>
    <col min="10278" max="10279" width="10" style="1" customWidth="1"/>
    <col min="10280" max="10280" width="1.375" style="1" customWidth="1"/>
    <col min="10281" max="10296" width="10" style="1" customWidth="1"/>
    <col min="10297" max="10302" width="5.75" style="1" customWidth="1"/>
    <col min="10303" max="10304" width="10" style="1" customWidth="1"/>
    <col min="10305" max="10305" width="1.25" style="1" customWidth="1"/>
    <col min="10306" max="10508" width="11" style="1"/>
    <col min="10509" max="10509" width="2.125" style="1" customWidth="1"/>
    <col min="10510" max="10510" width="42.5" style="1" customWidth="1"/>
    <col min="10511" max="10527" width="10" style="1" customWidth="1"/>
    <col min="10528" max="10533" width="9.25" style="1" customWidth="1"/>
    <col min="10534" max="10535" width="10" style="1" customWidth="1"/>
    <col min="10536" max="10536" width="1.375" style="1" customWidth="1"/>
    <col min="10537" max="10552" width="10" style="1" customWidth="1"/>
    <col min="10553" max="10558" width="5.75" style="1" customWidth="1"/>
    <col min="10559" max="10560" width="10" style="1" customWidth="1"/>
    <col min="10561" max="10561" width="1.25" style="1" customWidth="1"/>
    <col min="10562" max="10764" width="11" style="1"/>
    <col min="10765" max="10765" width="2.125" style="1" customWidth="1"/>
    <col min="10766" max="10766" width="42.5" style="1" customWidth="1"/>
    <col min="10767" max="10783" width="10" style="1" customWidth="1"/>
    <col min="10784" max="10789" width="9.25" style="1" customWidth="1"/>
    <col min="10790" max="10791" width="10" style="1" customWidth="1"/>
    <col min="10792" max="10792" width="1.375" style="1" customWidth="1"/>
    <col min="10793" max="10808" width="10" style="1" customWidth="1"/>
    <col min="10809" max="10814" width="5.75" style="1" customWidth="1"/>
    <col min="10815" max="10816" width="10" style="1" customWidth="1"/>
    <col min="10817" max="10817" width="1.25" style="1" customWidth="1"/>
    <col min="10818" max="11020" width="11" style="1"/>
    <col min="11021" max="11021" width="2.125" style="1" customWidth="1"/>
    <col min="11022" max="11022" width="42.5" style="1" customWidth="1"/>
    <col min="11023" max="11039" width="10" style="1" customWidth="1"/>
    <col min="11040" max="11045" width="9.25" style="1" customWidth="1"/>
    <col min="11046" max="11047" width="10" style="1" customWidth="1"/>
    <col min="11048" max="11048" width="1.375" style="1" customWidth="1"/>
    <col min="11049" max="11064" width="10" style="1" customWidth="1"/>
    <col min="11065" max="11070" width="5.75" style="1" customWidth="1"/>
    <col min="11071" max="11072" width="10" style="1" customWidth="1"/>
    <col min="11073" max="11073" width="1.25" style="1" customWidth="1"/>
    <col min="11074" max="11276" width="11" style="1"/>
    <col min="11277" max="11277" width="2.125" style="1" customWidth="1"/>
    <col min="11278" max="11278" width="42.5" style="1" customWidth="1"/>
    <col min="11279" max="11295" width="10" style="1" customWidth="1"/>
    <col min="11296" max="11301" width="9.25" style="1" customWidth="1"/>
    <col min="11302" max="11303" width="10" style="1" customWidth="1"/>
    <col min="11304" max="11304" width="1.375" style="1" customWidth="1"/>
    <col min="11305" max="11320" width="10" style="1" customWidth="1"/>
    <col min="11321" max="11326" width="5.75" style="1" customWidth="1"/>
    <col min="11327" max="11328" width="10" style="1" customWidth="1"/>
    <col min="11329" max="11329" width="1.25" style="1" customWidth="1"/>
    <col min="11330" max="11532" width="11" style="1"/>
    <col min="11533" max="11533" width="2.125" style="1" customWidth="1"/>
    <col min="11534" max="11534" width="42.5" style="1" customWidth="1"/>
    <col min="11535" max="11551" width="10" style="1" customWidth="1"/>
    <col min="11552" max="11557" width="9.25" style="1" customWidth="1"/>
    <col min="11558" max="11559" width="10" style="1" customWidth="1"/>
    <col min="11560" max="11560" width="1.375" style="1" customWidth="1"/>
    <col min="11561" max="11576" width="10" style="1" customWidth="1"/>
    <col min="11577" max="11582" width="5.75" style="1" customWidth="1"/>
    <col min="11583" max="11584" width="10" style="1" customWidth="1"/>
    <col min="11585" max="11585" width="1.25" style="1" customWidth="1"/>
    <col min="11586" max="11788" width="11" style="1"/>
    <col min="11789" max="11789" width="2.125" style="1" customWidth="1"/>
    <col min="11790" max="11790" width="42.5" style="1" customWidth="1"/>
    <col min="11791" max="11807" width="10" style="1" customWidth="1"/>
    <col min="11808" max="11813" width="9.25" style="1" customWidth="1"/>
    <col min="11814" max="11815" width="10" style="1" customWidth="1"/>
    <col min="11816" max="11816" width="1.375" style="1" customWidth="1"/>
    <col min="11817" max="11832" width="10" style="1" customWidth="1"/>
    <col min="11833" max="11838" width="5.75" style="1" customWidth="1"/>
    <col min="11839" max="11840" width="10" style="1" customWidth="1"/>
    <col min="11841" max="11841" width="1.25" style="1" customWidth="1"/>
    <col min="11842" max="12044" width="11" style="1"/>
    <col min="12045" max="12045" width="2.125" style="1" customWidth="1"/>
    <col min="12046" max="12046" width="42.5" style="1" customWidth="1"/>
    <col min="12047" max="12063" width="10" style="1" customWidth="1"/>
    <col min="12064" max="12069" width="9.25" style="1" customWidth="1"/>
    <col min="12070" max="12071" width="10" style="1" customWidth="1"/>
    <col min="12072" max="12072" width="1.375" style="1" customWidth="1"/>
    <col min="12073" max="12088" width="10" style="1" customWidth="1"/>
    <col min="12089" max="12094" width="5.75" style="1" customWidth="1"/>
    <col min="12095" max="12096" width="10" style="1" customWidth="1"/>
    <col min="12097" max="12097" width="1.25" style="1" customWidth="1"/>
    <col min="12098" max="12300" width="11" style="1"/>
    <col min="12301" max="12301" width="2.125" style="1" customWidth="1"/>
    <col min="12302" max="12302" width="42.5" style="1" customWidth="1"/>
    <col min="12303" max="12319" width="10" style="1" customWidth="1"/>
    <col min="12320" max="12325" width="9.25" style="1" customWidth="1"/>
    <col min="12326" max="12327" width="10" style="1" customWidth="1"/>
    <col min="12328" max="12328" width="1.375" style="1" customWidth="1"/>
    <col min="12329" max="12344" width="10" style="1" customWidth="1"/>
    <col min="12345" max="12350" width="5.75" style="1" customWidth="1"/>
    <col min="12351" max="12352" width="10" style="1" customWidth="1"/>
    <col min="12353" max="12353" width="1.25" style="1" customWidth="1"/>
    <col min="12354" max="12556" width="11" style="1"/>
    <col min="12557" max="12557" width="2.125" style="1" customWidth="1"/>
    <col min="12558" max="12558" width="42.5" style="1" customWidth="1"/>
    <col min="12559" max="12575" width="10" style="1" customWidth="1"/>
    <col min="12576" max="12581" width="9.25" style="1" customWidth="1"/>
    <col min="12582" max="12583" width="10" style="1" customWidth="1"/>
    <col min="12584" max="12584" width="1.375" style="1" customWidth="1"/>
    <col min="12585" max="12600" width="10" style="1" customWidth="1"/>
    <col min="12601" max="12606" width="5.75" style="1" customWidth="1"/>
    <col min="12607" max="12608" width="10" style="1" customWidth="1"/>
    <col min="12609" max="12609" width="1.25" style="1" customWidth="1"/>
    <col min="12610" max="12812" width="11" style="1"/>
    <col min="12813" max="12813" width="2.125" style="1" customWidth="1"/>
    <col min="12814" max="12814" width="42.5" style="1" customWidth="1"/>
    <col min="12815" max="12831" width="10" style="1" customWidth="1"/>
    <col min="12832" max="12837" width="9.25" style="1" customWidth="1"/>
    <col min="12838" max="12839" width="10" style="1" customWidth="1"/>
    <col min="12840" max="12840" width="1.375" style="1" customWidth="1"/>
    <col min="12841" max="12856" width="10" style="1" customWidth="1"/>
    <col min="12857" max="12862" width="5.75" style="1" customWidth="1"/>
    <col min="12863" max="12864" width="10" style="1" customWidth="1"/>
    <col min="12865" max="12865" width="1.25" style="1" customWidth="1"/>
    <col min="12866" max="13068" width="11" style="1"/>
    <col min="13069" max="13069" width="2.125" style="1" customWidth="1"/>
    <col min="13070" max="13070" width="42.5" style="1" customWidth="1"/>
    <col min="13071" max="13087" width="10" style="1" customWidth="1"/>
    <col min="13088" max="13093" width="9.25" style="1" customWidth="1"/>
    <col min="13094" max="13095" width="10" style="1" customWidth="1"/>
    <col min="13096" max="13096" width="1.375" style="1" customWidth="1"/>
    <col min="13097" max="13112" width="10" style="1" customWidth="1"/>
    <col min="13113" max="13118" width="5.75" style="1" customWidth="1"/>
    <col min="13119" max="13120" width="10" style="1" customWidth="1"/>
    <col min="13121" max="13121" width="1.25" style="1" customWidth="1"/>
    <col min="13122" max="13324" width="11" style="1"/>
    <col min="13325" max="13325" width="2.125" style="1" customWidth="1"/>
    <col min="13326" max="13326" width="42.5" style="1" customWidth="1"/>
    <col min="13327" max="13343" width="10" style="1" customWidth="1"/>
    <col min="13344" max="13349" width="9.25" style="1" customWidth="1"/>
    <col min="13350" max="13351" width="10" style="1" customWidth="1"/>
    <col min="13352" max="13352" width="1.375" style="1" customWidth="1"/>
    <col min="13353" max="13368" width="10" style="1" customWidth="1"/>
    <col min="13369" max="13374" width="5.75" style="1" customWidth="1"/>
    <col min="13375" max="13376" width="10" style="1" customWidth="1"/>
    <col min="13377" max="13377" width="1.25" style="1" customWidth="1"/>
    <col min="13378" max="13580" width="11" style="1"/>
    <col min="13581" max="13581" width="2.125" style="1" customWidth="1"/>
    <col min="13582" max="13582" width="42.5" style="1" customWidth="1"/>
    <col min="13583" max="13599" width="10" style="1" customWidth="1"/>
    <col min="13600" max="13605" width="9.25" style="1" customWidth="1"/>
    <col min="13606" max="13607" width="10" style="1" customWidth="1"/>
    <col min="13608" max="13608" width="1.375" style="1" customWidth="1"/>
    <col min="13609" max="13624" width="10" style="1" customWidth="1"/>
    <col min="13625" max="13630" width="5.75" style="1" customWidth="1"/>
    <col min="13631" max="13632" width="10" style="1" customWidth="1"/>
    <col min="13633" max="13633" width="1.25" style="1" customWidth="1"/>
    <col min="13634" max="13836" width="11" style="1"/>
    <col min="13837" max="13837" width="2.125" style="1" customWidth="1"/>
    <col min="13838" max="13838" width="42.5" style="1" customWidth="1"/>
    <col min="13839" max="13855" width="10" style="1" customWidth="1"/>
    <col min="13856" max="13861" width="9.25" style="1" customWidth="1"/>
    <col min="13862" max="13863" width="10" style="1" customWidth="1"/>
    <col min="13864" max="13864" width="1.375" style="1" customWidth="1"/>
    <col min="13865" max="13880" width="10" style="1" customWidth="1"/>
    <col min="13881" max="13886" width="5.75" style="1" customWidth="1"/>
    <col min="13887" max="13888" width="10" style="1" customWidth="1"/>
    <col min="13889" max="13889" width="1.25" style="1" customWidth="1"/>
    <col min="13890" max="14092" width="11" style="1"/>
    <col min="14093" max="14093" width="2.125" style="1" customWidth="1"/>
    <col min="14094" max="14094" width="42.5" style="1" customWidth="1"/>
    <col min="14095" max="14111" width="10" style="1" customWidth="1"/>
    <col min="14112" max="14117" width="9.25" style="1" customWidth="1"/>
    <col min="14118" max="14119" width="10" style="1" customWidth="1"/>
    <col min="14120" max="14120" width="1.375" style="1" customWidth="1"/>
    <col min="14121" max="14136" width="10" style="1" customWidth="1"/>
    <col min="14137" max="14142" width="5.75" style="1" customWidth="1"/>
    <col min="14143" max="14144" width="10" style="1" customWidth="1"/>
    <col min="14145" max="14145" width="1.25" style="1" customWidth="1"/>
    <col min="14146" max="14348" width="11" style="1"/>
    <col min="14349" max="14349" width="2.125" style="1" customWidth="1"/>
    <col min="14350" max="14350" width="42.5" style="1" customWidth="1"/>
    <col min="14351" max="14367" width="10" style="1" customWidth="1"/>
    <col min="14368" max="14373" width="9.25" style="1" customWidth="1"/>
    <col min="14374" max="14375" width="10" style="1" customWidth="1"/>
    <col min="14376" max="14376" width="1.375" style="1" customWidth="1"/>
    <col min="14377" max="14392" width="10" style="1" customWidth="1"/>
    <col min="14393" max="14398" width="5.75" style="1" customWidth="1"/>
    <col min="14399" max="14400" width="10" style="1" customWidth="1"/>
    <col min="14401" max="14401" width="1.25" style="1" customWidth="1"/>
    <col min="14402" max="14604" width="11" style="1"/>
    <col min="14605" max="14605" width="2.125" style="1" customWidth="1"/>
    <col min="14606" max="14606" width="42.5" style="1" customWidth="1"/>
    <col min="14607" max="14623" width="10" style="1" customWidth="1"/>
    <col min="14624" max="14629" width="9.25" style="1" customWidth="1"/>
    <col min="14630" max="14631" width="10" style="1" customWidth="1"/>
    <col min="14632" max="14632" width="1.375" style="1" customWidth="1"/>
    <col min="14633" max="14648" width="10" style="1" customWidth="1"/>
    <col min="14649" max="14654" width="5.75" style="1" customWidth="1"/>
    <col min="14655" max="14656" width="10" style="1" customWidth="1"/>
    <col min="14657" max="14657" width="1.25" style="1" customWidth="1"/>
    <col min="14658" max="14860" width="11" style="1"/>
    <col min="14861" max="14861" width="2.125" style="1" customWidth="1"/>
    <col min="14862" max="14862" width="42.5" style="1" customWidth="1"/>
    <col min="14863" max="14879" width="10" style="1" customWidth="1"/>
    <col min="14880" max="14885" width="9.25" style="1" customWidth="1"/>
    <col min="14886" max="14887" width="10" style="1" customWidth="1"/>
    <col min="14888" max="14888" width="1.375" style="1" customWidth="1"/>
    <col min="14889" max="14904" width="10" style="1" customWidth="1"/>
    <col min="14905" max="14910" width="5.75" style="1" customWidth="1"/>
    <col min="14911" max="14912" width="10" style="1" customWidth="1"/>
    <col min="14913" max="14913" width="1.25" style="1" customWidth="1"/>
    <col min="14914" max="15116" width="11" style="1"/>
    <col min="15117" max="15117" width="2.125" style="1" customWidth="1"/>
    <col min="15118" max="15118" width="42.5" style="1" customWidth="1"/>
    <col min="15119" max="15135" width="10" style="1" customWidth="1"/>
    <col min="15136" max="15141" width="9.25" style="1" customWidth="1"/>
    <col min="15142" max="15143" width="10" style="1" customWidth="1"/>
    <col min="15144" max="15144" width="1.375" style="1" customWidth="1"/>
    <col min="15145" max="15160" width="10" style="1" customWidth="1"/>
    <col min="15161" max="15166" width="5.75" style="1" customWidth="1"/>
    <col min="15167" max="15168" width="10" style="1" customWidth="1"/>
    <col min="15169" max="15169" width="1.25" style="1" customWidth="1"/>
    <col min="15170" max="15372" width="11" style="1"/>
    <col min="15373" max="15373" width="2.125" style="1" customWidth="1"/>
    <col min="15374" max="15374" width="42.5" style="1" customWidth="1"/>
    <col min="15375" max="15391" width="10" style="1" customWidth="1"/>
    <col min="15392" max="15397" width="9.25" style="1" customWidth="1"/>
    <col min="15398" max="15399" width="10" style="1" customWidth="1"/>
    <col min="15400" max="15400" width="1.375" style="1" customWidth="1"/>
    <col min="15401" max="15416" width="10" style="1" customWidth="1"/>
    <col min="15417" max="15422" width="5.75" style="1" customWidth="1"/>
    <col min="15423" max="15424" width="10" style="1" customWidth="1"/>
    <col min="15425" max="15425" width="1.25" style="1" customWidth="1"/>
    <col min="15426" max="15628" width="11" style="1"/>
    <col min="15629" max="15629" width="2.125" style="1" customWidth="1"/>
    <col min="15630" max="15630" width="42.5" style="1" customWidth="1"/>
    <col min="15631" max="15647" width="10" style="1" customWidth="1"/>
    <col min="15648" max="15653" width="9.25" style="1" customWidth="1"/>
    <col min="15654" max="15655" width="10" style="1" customWidth="1"/>
    <col min="15656" max="15656" width="1.375" style="1" customWidth="1"/>
    <col min="15657" max="15672" width="10" style="1" customWidth="1"/>
    <col min="15673" max="15678" width="5.75" style="1" customWidth="1"/>
    <col min="15679" max="15680" width="10" style="1" customWidth="1"/>
    <col min="15681" max="15681" width="1.25" style="1" customWidth="1"/>
    <col min="15682" max="15884" width="11" style="1"/>
    <col min="15885" max="15885" width="2.125" style="1" customWidth="1"/>
    <col min="15886" max="15886" width="42.5" style="1" customWidth="1"/>
    <col min="15887" max="15903" width="10" style="1" customWidth="1"/>
    <col min="15904" max="15909" width="9.25" style="1" customWidth="1"/>
    <col min="15910" max="15911" width="10" style="1" customWidth="1"/>
    <col min="15912" max="15912" width="1.375" style="1" customWidth="1"/>
    <col min="15913" max="15928" width="10" style="1" customWidth="1"/>
    <col min="15929" max="15934" width="5.75" style="1" customWidth="1"/>
    <col min="15935" max="15936" width="10" style="1" customWidth="1"/>
    <col min="15937" max="15937" width="1.25" style="1" customWidth="1"/>
    <col min="15938" max="16140" width="11" style="1"/>
    <col min="16141" max="16141" width="2.125" style="1" customWidth="1"/>
    <col min="16142" max="16142" width="42.5" style="1" customWidth="1"/>
    <col min="16143" max="16159" width="10" style="1" customWidth="1"/>
    <col min="16160" max="16165" width="9.25" style="1" customWidth="1"/>
    <col min="16166" max="16167" width="10" style="1" customWidth="1"/>
    <col min="16168" max="16168" width="1.375" style="1" customWidth="1"/>
    <col min="16169" max="16184" width="10" style="1" customWidth="1"/>
    <col min="16185" max="16190" width="5.75" style="1" customWidth="1"/>
    <col min="16191" max="16192" width="10" style="1" customWidth="1"/>
    <col min="16193" max="16193" width="1.25" style="1" customWidth="1"/>
    <col min="16194" max="16384" width="11" style="1"/>
  </cols>
  <sheetData>
    <row r="1" spans="1:74" ht="15" customHeight="1">
      <c r="B1" s="65" t="s">
        <v>66</v>
      </c>
    </row>
    <row r="2" spans="1:74" ht="15" customHeight="1">
      <c r="B2" s="64" t="s">
        <v>65</v>
      </c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74" ht="15" customHeight="1">
      <c r="B3" s="62" t="s">
        <v>64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/>
      <c r="X3"/>
      <c r="Z3"/>
      <c r="AA3"/>
      <c r="AB3"/>
      <c r="AC3"/>
      <c r="AD3"/>
      <c r="AE3"/>
      <c r="AF3"/>
      <c r="AG3"/>
    </row>
    <row r="4" spans="1:74" ht="12" customHeight="1" thickBot="1">
      <c r="B4"/>
      <c r="W4"/>
      <c r="X4"/>
      <c r="Z4" s="60"/>
      <c r="AA4"/>
      <c r="AB4"/>
      <c r="AC4" s="60"/>
      <c r="AD4"/>
      <c r="AE4"/>
    </row>
    <row r="5" spans="1:74" ht="12" customHeight="1" thickTop="1" thickBot="1">
      <c r="AH5" s="59"/>
      <c r="AI5" s="58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6"/>
      <c r="BC5" s="55" t="s">
        <v>63</v>
      </c>
      <c r="BD5" s="54"/>
      <c r="BE5" s="54"/>
      <c r="BF5" s="54"/>
      <c r="BG5" s="54"/>
      <c r="BH5" s="54"/>
      <c r="BI5" s="54"/>
      <c r="BJ5" s="54"/>
      <c r="BK5" s="54"/>
      <c r="BL5" s="53"/>
    </row>
    <row r="6" spans="1:74" ht="24" customHeight="1" thickTop="1" thickBot="1">
      <c r="B6" s="52"/>
      <c r="C6" s="48">
        <v>1995</v>
      </c>
      <c r="D6" s="48">
        <v>1996</v>
      </c>
      <c r="E6" s="48">
        <v>1997</v>
      </c>
      <c r="F6" s="48">
        <v>1998</v>
      </c>
      <c r="G6" s="48">
        <v>1999</v>
      </c>
      <c r="H6" s="48">
        <v>2000</v>
      </c>
      <c r="I6" s="48">
        <v>2001</v>
      </c>
      <c r="J6" s="48">
        <v>2002</v>
      </c>
      <c r="K6" s="48">
        <v>2003</v>
      </c>
      <c r="L6" s="48">
        <v>2004</v>
      </c>
      <c r="M6" s="48">
        <v>2005</v>
      </c>
      <c r="N6" s="48">
        <v>2006</v>
      </c>
      <c r="O6" s="48">
        <v>2007</v>
      </c>
      <c r="P6" s="48">
        <v>2008</v>
      </c>
      <c r="Q6" s="51">
        <v>2009</v>
      </c>
      <c r="R6" s="49">
        <v>2010</v>
      </c>
      <c r="S6" s="48">
        <v>2011</v>
      </c>
      <c r="T6" s="51">
        <v>2012</v>
      </c>
      <c r="U6" s="49">
        <v>2013</v>
      </c>
      <c r="V6" s="49">
        <v>2014</v>
      </c>
      <c r="W6" s="49">
        <v>2015</v>
      </c>
      <c r="X6" s="50">
        <v>2016</v>
      </c>
      <c r="Y6" s="49">
        <v>2017</v>
      </c>
      <c r="Z6" s="49">
        <v>2018</v>
      </c>
      <c r="AA6" s="49">
        <v>2019</v>
      </c>
      <c r="AB6" s="49">
        <v>2020</v>
      </c>
      <c r="AC6" s="49">
        <v>2021</v>
      </c>
      <c r="AD6" s="49">
        <v>2022</v>
      </c>
      <c r="AE6" s="49">
        <v>2023</v>
      </c>
      <c r="AF6" s="48" t="s">
        <v>62</v>
      </c>
      <c r="AG6" s="47" t="s">
        <v>61</v>
      </c>
      <c r="AH6" s="46"/>
      <c r="AI6" s="45" t="s">
        <v>60</v>
      </c>
      <c r="AJ6" s="40" t="s">
        <v>59</v>
      </c>
      <c r="AK6" s="40" t="s">
        <v>58</v>
      </c>
      <c r="AL6" s="40" t="s">
        <v>57</v>
      </c>
      <c r="AM6" s="40" t="s">
        <v>56</v>
      </c>
      <c r="AN6" s="40" t="s">
        <v>55</v>
      </c>
      <c r="AO6" s="40" t="s">
        <v>54</v>
      </c>
      <c r="AP6" s="40" t="s">
        <v>53</v>
      </c>
      <c r="AQ6" s="40" t="s">
        <v>52</v>
      </c>
      <c r="AR6" s="40" t="s">
        <v>51</v>
      </c>
      <c r="AS6" s="40" t="s">
        <v>50</v>
      </c>
      <c r="AT6" s="40" t="s">
        <v>49</v>
      </c>
      <c r="AU6" s="40" t="s">
        <v>48</v>
      </c>
      <c r="AV6" s="42" t="s">
        <v>47</v>
      </c>
      <c r="AW6" s="40" t="s">
        <v>46</v>
      </c>
      <c r="AX6" s="42" t="s">
        <v>45</v>
      </c>
      <c r="AY6" s="40" t="s">
        <v>44</v>
      </c>
      <c r="AZ6" s="42">
        <v>13</v>
      </c>
      <c r="BA6" s="41">
        <v>14</v>
      </c>
      <c r="BB6" s="44">
        <v>15</v>
      </c>
      <c r="BC6" s="43">
        <v>16</v>
      </c>
      <c r="BD6" s="43">
        <v>17</v>
      </c>
      <c r="BE6" s="42">
        <v>18</v>
      </c>
      <c r="BF6" s="41">
        <v>19</v>
      </c>
      <c r="BG6" s="41">
        <v>20</v>
      </c>
      <c r="BH6" s="41">
        <v>21</v>
      </c>
      <c r="BI6" s="41">
        <v>22</v>
      </c>
      <c r="BJ6" s="41">
        <v>23</v>
      </c>
      <c r="BK6" s="40">
        <v>24</v>
      </c>
      <c r="BL6" s="39">
        <v>25</v>
      </c>
      <c r="BM6" s="38"/>
      <c r="BO6" s="2"/>
      <c r="BP6" s="2"/>
      <c r="BQ6" s="2"/>
      <c r="BR6" s="2"/>
      <c r="BS6" s="2"/>
      <c r="BT6" s="2"/>
      <c r="BU6" s="2"/>
      <c r="BV6" s="2"/>
    </row>
    <row r="7" spans="1:74" ht="6" customHeight="1" thickTop="1" thickBot="1">
      <c r="B7" s="35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6"/>
      <c r="Z7" s="36"/>
      <c r="AA7" s="36"/>
      <c r="AB7" s="36"/>
      <c r="AC7" s="36"/>
      <c r="AD7" s="36"/>
      <c r="AE7" s="36"/>
      <c r="AF7" s="36"/>
      <c r="AG7" s="36"/>
      <c r="AH7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/>
    </row>
    <row r="8" spans="1:74" ht="6" customHeight="1">
      <c r="B8" s="2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/>
    </row>
    <row r="9" spans="1:74" s="15" customFormat="1">
      <c r="A9"/>
      <c r="B9" s="22" t="s">
        <v>43</v>
      </c>
      <c r="C9" s="21">
        <v>242386.30900000004</v>
      </c>
      <c r="D9" s="21">
        <v>254962.503</v>
      </c>
      <c r="E9" s="21">
        <v>264910.31300000002</v>
      </c>
      <c r="F9" s="21">
        <v>283958.10499999998</v>
      </c>
      <c r="G9" s="21">
        <v>306830.56299999997</v>
      </c>
      <c r="H9" s="21">
        <v>333403.55899999995</v>
      </c>
      <c r="I9" s="21">
        <v>360539.48899999994</v>
      </c>
      <c r="J9" s="21">
        <v>381000.63500000001</v>
      </c>
      <c r="K9" s="21">
        <v>411384.17799999996</v>
      </c>
      <c r="L9" s="21">
        <v>439668.21500000003</v>
      </c>
      <c r="M9" s="21">
        <v>480812.28100000008</v>
      </c>
      <c r="N9" s="21">
        <v>541983.37599999993</v>
      </c>
      <c r="O9" s="21">
        <v>572392.09199999995</v>
      </c>
      <c r="P9" s="21">
        <v>596652.70100000012</v>
      </c>
      <c r="Q9" s="21">
        <v>586253.49099999992</v>
      </c>
      <c r="R9" s="21">
        <v>573851.67200000002</v>
      </c>
      <c r="S9" s="21">
        <v>576212.40500000003</v>
      </c>
      <c r="T9" s="21">
        <v>551052.18400000001</v>
      </c>
      <c r="U9" s="21">
        <v>543682.32000000007</v>
      </c>
      <c r="V9" s="21">
        <v>545200.70600000001</v>
      </c>
      <c r="W9" s="21">
        <v>563764.82899999991</v>
      </c>
      <c r="X9" s="21">
        <v>583158.41300000006</v>
      </c>
      <c r="Y9" s="21">
        <v>607700.304</v>
      </c>
      <c r="Z9" s="21">
        <v>647337.90899999999</v>
      </c>
      <c r="AA9" s="21">
        <v>677622.29399999999</v>
      </c>
      <c r="AB9" s="21">
        <v>675261.55599999998</v>
      </c>
      <c r="AC9" s="21">
        <v>717271.64899999998</v>
      </c>
      <c r="AD9" s="21">
        <v>773935.38399999996</v>
      </c>
      <c r="AE9" s="21">
        <v>831544.397</v>
      </c>
      <c r="AF9" s="27">
        <v>905779.12599999993</v>
      </c>
      <c r="AG9" s="27">
        <v>970728.4389999999</v>
      </c>
      <c r="AH9"/>
      <c r="AI9" s="20">
        <v>5.188491896215127</v>
      </c>
      <c r="AJ9" s="20">
        <v>3.9016756907191277</v>
      </c>
      <c r="AK9" s="20">
        <v>7.190279526792132</v>
      </c>
      <c r="AL9" s="20">
        <v>8.0548706295951593</v>
      </c>
      <c r="AM9" s="20">
        <v>8.6604788454532127</v>
      </c>
      <c r="AN9" s="20">
        <v>8.1390642863533422</v>
      </c>
      <c r="AO9" s="20">
        <v>5.6751470017199885</v>
      </c>
      <c r="AP9" s="20">
        <v>7.9746699109832049</v>
      </c>
      <c r="AQ9" s="20">
        <v>6.8753341797214356</v>
      </c>
      <c r="AR9" s="20">
        <v>9.3579805399396569</v>
      </c>
      <c r="AS9" s="20">
        <v>12.722448534961577</v>
      </c>
      <c r="AT9" s="20">
        <v>5.6106362937596854</v>
      </c>
      <c r="AU9" s="20">
        <v>4.2384598493020711</v>
      </c>
      <c r="AV9" s="20">
        <v>-1.7429251527012184</v>
      </c>
      <c r="AW9" s="20">
        <v>-2.1154362729415119</v>
      </c>
      <c r="AX9" s="20">
        <v>0.41138383230153025</v>
      </c>
      <c r="AY9" s="20">
        <v>-4.3664837448267049</v>
      </c>
      <c r="AZ9" s="20">
        <v>-1.3374167118807649</v>
      </c>
      <c r="BA9" s="20">
        <v>0.27927816376297471</v>
      </c>
      <c r="BB9" s="20">
        <v>3.4050071461205893</v>
      </c>
      <c r="BC9" s="20">
        <v>3.4400131051808041</v>
      </c>
      <c r="BD9" s="20">
        <v>4.2084432725143488</v>
      </c>
      <c r="BE9" s="20">
        <v>6.522558033803449</v>
      </c>
      <c r="BF9" s="20">
        <v>4.6782962312191749</v>
      </c>
      <c r="BG9" s="20">
        <v>-0.34838552699684527</v>
      </c>
      <c r="BH9" s="20">
        <v>6.2213067850111683</v>
      </c>
      <c r="BI9" s="20">
        <v>7.8998988847529343</v>
      </c>
      <c r="BJ9" s="20">
        <v>7.443646354848668</v>
      </c>
      <c r="BK9" s="20">
        <v>8.9273319942771412</v>
      </c>
      <c r="BL9" s="20">
        <v>7.1705464539486394</v>
      </c>
      <c r="BM9"/>
      <c r="BN9" s="2"/>
    </row>
    <row r="10" spans="1:74" s="15" customFormat="1">
      <c r="A10"/>
      <c r="B10" s="17" t="s">
        <v>42</v>
      </c>
      <c r="C10" s="16">
        <v>191290.59199999998</v>
      </c>
      <c r="D10" s="16">
        <v>203735.68299999999</v>
      </c>
      <c r="E10" s="16">
        <v>214011.46600000001</v>
      </c>
      <c r="F10" s="16">
        <v>229473.13600000003</v>
      </c>
      <c r="G10" s="16">
        <v>250356.40400000001</v>
      </c>
      <c r="H10" s="16">
        <v>272991.50499999995</v>
      </c>
      <c r="I10" s="16">
        <v>298412.25799999997</v>
      </c>
      <c r="J10" s="16">
        <v>317675.83999999997</v>
      </c>
      <c r="K10" s="16">
        <v>342465.06900000002</v>
      </c>
      <c r="L10" s="16">
        <v>364987.65100000001</v>
      </c>
      <c r="M10" s="16">
        <v>395227.83799999999</v>
      </c>
      <c r="N10" s="16">
        <v>430428.24099999992</v>
      </c>
      <c r="O10" s="16">
        <v>464901.95500000002</v>
      </c>
      <c r="P10" s="16">
        <v>497940.74600000004</v>
      </c>
      <c r="Q10" s="16">
        <v>496135.97700000001</v>
      </c>
      <c r="R10" s="16">
        <v>493867.73899999994</v>
      </c>
      <c r="S10" s="16">
        <v>494637.66799999995</v>
      </c>
      <c r="T10" s="16">
        <v>475541.03699999995</v>
      </c>
      <c r="U10" s="16">
        <v>469438.61900000001</v>
      </c>
      <c r="V10" s="16">
        <v>469817.90600000002</v>
      </c>
      <c r="W10" s="16">
        <v>482289.19300000003</v>
      </c>
      <c r="X10" s="16">
        <v>498884.88099999999</v>
      </c>
      <c r="Y10" s="16">
        <v>516842.17999999993</v>
      </c>
      <c r="Z10" s="16">
        <v>545355.97600000002</v>
      </c>
      <c r="AA10" s="16">
        <v>572242.26600000006</v>
      </c>
      <c r="AB10" s="16">
        <v>582796.924</v>
      </c>
      <c r="AC10" s="16">
        <v>607322.37700000009</v>
      </c>
      <c r="AD10" s="16">
        <v>651635.80200000003</v>
      </c>
      <c r="AE10" s="16">
        <v>704349.24600000004</v>
      </c>
      <c r="AF10" s="25">
        <v>752395.90599999996</v>
      </c>
      <c r="AG10" s="25">
        <v>798860.05799999984</v>
      </c>
      <c r="AH10"/>
      <c r="AI10" s="12">
        <v>6.5058562838260316</v>
      </c>
      <c r="AJ10" s="12">
        <v>5.0436834867066587</v>
      </c>
      <c r="AK10" s="12">
        <v>7.2246923442877646</v>
      </c>
      <c r="AL10" s="12">
        <v>9.1005284383266449</v>
      </c>
      <c r="AM10" s="12">
        <v>9.0411511902047987</v>
      </c>
      <c r="AN10" s="12">
        <v>9.3119208965861517</v>
      </c>
      <c r="AO10" s="12">
        <v>6.4553588143822154</v>
      </c>
      <c r="AP10" s="12">
        <v>7.8033094993941159</v>
      </c>
      <c r="AQ10" s="12">
        <v>6.5766070874807943</v>
      </c>
      <c r="AR10" s="12">
        <v>8.2852630540094552</v>
      </c>
      <c r="AS10" s="12">
        <v>8.9063571984521825</v>
      </c>
      <c r="AT10" s="12">
        <v>8.0091663873886247</v>
      </c>
      <c r="AU10" s="12">
        <v>7.1066147699895179</v>
      </c>
      <c r="AV10" s="12">
        <v>-0.36244653897032741</v>
      </c>
      <c r="AW10" s="12">
        <v>-0.45718071358491108</v>
      </c>
      <c r="AX10" s="12">
        <v>0.15589781214682741</v>
      </c>
      <c r="AY10" s="12">
        <v>-3.860731245401229</v>
      </c>
      <c r="AZ10" s="12">
        <v>-1.2832579157621569</v>
      </c>
      <c r="BA10" s="12">
        <v>8.0795866519880674E-2</v>
      </c>
      <c r="BB10" s="12">
        <v>2.6544937603974614</v>
      </c>
      <c r="BC10" s="12">
        <v>3.4410242321146027</v>
      </c>
      <c r="BD10" s="12">
        <v>3.599487513833866</v>
      </c>
      <c r="BE10" s="12">
        <v>5.516925108550562</v>
      </c>
      <c r="BF10" s="12">
        <v>4.930044078218744</v>
      </c>
      <c r="BG10" s="12">
        <v>1.8444387328775076</v>
      </c>
      <c r="BH10" s="12">
        <v>4.2082330894389033</v>
      </c>
      <c r="BI10" s="12">
        <v>7.2965243301087712</v>
      </c>
      <c r="BJ10" s="12">
        <v>8.0894026752692181</v>
      </c>
      <c r="BK10" s="12">
        <v>6.821425631227255</v>
      </c>
      <c r="BL10" s="12">
        <v>6.1754924009381682</v>
      </c>
      <c r="BM10"/>
      <c r="BN10" s="2"/>
      <c r="BO10" s="33"/>
      <c r="BP10" s="33"/>
      <c r="BQ10" s="33"/>
      <c r="BR10" s="33"/>
      <c r="BS10" s="33"/>
      <c r="BT10" s="33"/>
      <c r="BU10" s="33"/>
      <c r="BV10" s="33"/>
    </row>
    <row r="11" spans="1:74" s="15" customFormat="1">
      <c r="A11"/>
      <c r="B11" s="17" t="s">
        <v>41</v>
      </c>
      <c r="C11" s="16">
        <v>26587.981999999996</v>
      </c>
      <c r="D11" s="16">
        <v>26375.288999999997</v>
      </c>
      <c r="E11" s="16">
        <v>24667.981</v>
      </c>
      <c r="F11" s="16">
        <v>26927.735999999997</v>
      </c>
      <c r="G11" s="16">
        <v>28415.089999999997</v>
      </c>
      <c r="H11" s="16">
        <v>31654.108</v>
      </c>
      <c r="I11" s="16">
        <v>32060.101999999999</v>
      </c>
      <c r="J11" s="16">
        <v>31669.548000000003</v>
      </c>
      <c r="K11" s="16">
        <v>35642.248</v>
      </c>
      <c r="L11" s="16">
        <v>41149.09599999999</v>
      </c>
      <c r="M11" s="16">
        <v>51584.027000000002</v>
      </c>
      <c r="N11" s="16">
        <v>75026.578999999998</v>
      </c>
      <c r="O11" s="16">
        <v>69353.241999999998</v>
      </c>
      <c r="P11" s="16">
        <v>63982.354999999996</v>
      </c>
      <c r="Q11" s="16">
        <v>59316.185999999987</v>
      </c>
      <c r="R11" s="16">
        <v>49701.495999999999</v>
      </c>
      <c r="S11" s="16">
        <v>52567.311000000002</v>
      </c>
      <c r="T11" s="16">
        <v>47348.368999999999</v>
      </c>
      <c r="U11" s="16">
        <v>45589.576999999997</v>
      </c>
      <c r="V11" s="16">
        <v>45287.6</v>
      </c>
      <c r="W11" s="16">
        <v>47042.784999999989</v>
      </c>
      <c r="X11" s="16">
        <v>47983.514000000003</v>
      </c>
      <c r="Y11" s="16">
        <v>52369.668999999994</v>
      </c>
      <c r="Z11" s="16">
        <v>60950.234000000011</v>
      </c>
      <c r="AA11" s="16">
        <v>63219.342000000004</v>
      </c>
      <c r="AB11" s="16">
        <v>55602.318000000007</v>
      </c>
      <c r="AC11" s="16">
        <v>63094.818999999996</v>
      </c>
      <c r="AD11" s="16">
        <v>72011.606</v>
      </c>
      <c r="AE11" s="16">
        <v>74450.739999999991</v>
      </c>
      <c r="AF11" s="25">
        <v>94681.184000000008</v>
      </c>
      <c r="AG11" s="25">
        <v>108117.969</v>
      </c>
      <c r="AH11"/>
      <c r="AI11" s="12">
        <v>-0.79995916952252832</v>
      </c>
      <c r="AJ11" s="12">
        <v>-6.473134758826709</v>
      </c>
      <c r="AK11" s="12">
        <v>9.1606808031836788</v>
      </c>
      <c r="AL11" s="12">
        <v>5.5235018643973612</v>
      </c>
      <c r="AM11" s="12">
        <v>11.398936269425873</v>
      </c>
      <c r="AN11" s="12">
        <v>1.2825949794573228</v>
      </c>
      <c r="AO11" s="12">
        <v>-1.2181932546565089</v>
      </c>
      <c r="AP11" s="12">
        <v>12.544227028437529</v>
      </c>
      <c r="AQ11" s="12">
        <v>15.450338598171449</v>
      </c>
      <c r="AR11" s="12">
        <v>25.358834128458167</v>
      </c>
      <c r="AS11" s="12">
        <v>45.445370133665591</v>
      </c>
      <c r="AT11" s="12">
        <v>-7.5617695430308771</v>
      </c>
      <c r="AU11" s="12">
        <v>-7.7442479185039428</v>
      </c>
      <c r="AV11" s="12">
        <v>-7.2928997377480229</v>
      </c>
      <c r="AW11" s="12">
        <v>-16.209218171916838</v>
      </c>
      <c r="AX11" s="12">
        <v>5.7660538024851453</v>
      </c>
      <c r="AY11" s="12">
        <v>-9.9281129293450121</v>
      </c>
      <c r="AZ11" s="12">
        <v>-3.7145777925317796</v>
      </c>
      <c r="BA11" s="12">
        <v>-0.66238166675685317</v>
      </c>
      <c r="BB11" s="12">
        <v>3.8756414559393528</v>
      </c>
      <c r="BC11" s="12">
        <v>1.9997306707075573</v>
      </c>
      <c r="BD11" s="12">
        <v>9.140962456396986</v>
      </c>
      <c r="BE11" s="12">
        <v>16.384608044782595</v>
      </c>
      <c r="BF11" s="12">
        <v>3.7228864453580153</v>
      </c>
      <c r="BG11" s="12">
        <v>-12.048565769634232</v>
      </c>
      <c r="BH11" s="12">
        <v>13.475159434899798</v>
      </c>
      <c r="BI11" s="12">
        <v>14.132360059547844</v>
      </c>
      <c r="BJ11" s="12">
        <v>3.3871401229407256</v>
      </c>
      <c r="BK11" s="12">
        <v>27.172925346343128</v>
      </c>
      <c r="BL11" s="12">
        <v>14.191610658354238</v>
      </c>
      <c r="BM11"/>
      <c r="BN11" s="16"/>
      <c r="BO11" s="33"/>
      <c r="BP11" s="33"/>
      <c r="BQ11" s="33"/>
      <c r="BR11" s="33"/>
      <c r="BS11" s="33"/>
      <c r="BT11" s="33"/>
      <c r="BU11" s="33"/>
      <c r="BV11" s="33"/>
    </row>
    <row r="12" spans="1:74" s="15" customFormat="1">
      <c r="A12"/>
      <c r="B12" s="17" t="s">
        <v>27</v>
      </c>
      <c r="C12" s="16">
        <v>18155.646000000001</v>
      </c>
      <c r="D12" s="16">
        <v>17730.280999999999</v>
      </c>
      <c r="E12" s="16">
        <v>13882.056</v>
      </c>
      <c r="F12" s="16">
        <v>12211.678999999998</v>
      </c>
      <c r="G12" s="16">
        <v>11046.278</v>
      </c>
      <c r="H12" s="16">
        <v>11948.370999999999</v>
      </c>
      <c r="I12" s="16">
        <v>14174.552</v>
      </c>
      <c r="J12" s="16">
        <v>13685.127</v>
      </c>
      <c r="K12" s="16">
        <v>13748.938999999998</v>
      </c>
      <c r="L12" s="16">
        <v>13390.596000000001</v>
      </c>
      <c r="M12" s="16">
        <v>14748.968999999999</v>
      </c>
      <c r="N12" s="16">
        <v>19317.333999999999</v>
      </c>
      <c r="O12" s="16">
        <v>23141.724999999999</v>
      </c>
      <c r="P12" s="16">
        <v>30037.761000000002</v>
      </c>
      <c r="Q12" s="16">
        <v>29708.82</v>
      </c>
      <c r="R12" s="16">
        <v>22710.189000000002</v>
      </c>
      <c r="S12" s="16">
        <v>26355.694000000003</v>
      </c>
      <c r="T12" s="16">
        <v>23178.729000000003</v>
      </c>
      <c r="U12" s="16">
        <v>21402.071</v>
      </c>
      <c r="V12" s="16">
        <v>18010.576000000001</v>
      </c>
      <c r="W12" s="16">
        <v>15841.585999999999</v>
      </c>
      <c r="X12" s="16">
        <v>15397.678000000002</v>
      </c>
      <c r="Y12" s="16">
        <v>14862.333000000002</v>
      </c>
      <c r="Z12" s="16">
        <v>17152.683999999997</v>
      </c>
      <c r="AA12" s="16">
        <v>18406.629999999997</v>
      </c>
      <c r="AB12" s="16">
        <v>14800.783000000001</v>
      </c>
      <c r="AC12" s="16">
        <v>14441.753999999997</v>
      </c>
      <c r="AD12" s="16">
        <v>18262.879999999997</v>
      </c>
      <c r="AE12" s="16">
        <v>21177.472000000002</v>
      </c>
      <c r="AF12" s="25">
        <v>30912.339999999997</v>
      </c>
      <c r="AG12" s="25">
        <v>31540.888999999999</v>
      </c>
      <c r="AH12"/>
      <c r="AI12" s="12">
        <v>-2.3428800054814993</v>
      </c>
      <c r="AJ12" s="12">
        <v>-21.704252741397607</v>
      </c>
      <c r="AK12" s="12">
        <v>-12.032634070918617</v>
      </c>
      <c r="AL12" s="12">
        <v>-9.5433314288722961</v>
      </c>
      <c r="AM12" s="12">
        <v>8.1664882958766647</v>
      </c>
      <c r="AN12" s="12">
        <v>18.631669538885262</v>
      </c>
      <c r="AO12" s="12">
        <v>-3.4528428129509794</v>
      </c>
      <c r="AP12" s="12">
        <v>0.46628723284773371</v>
      </c>
      <c r="AQ12" s="12">
        <v>-2.6063320231473655</v>
      </c>
      <c r="AR12" s="12">
        <v>10.144231070820132</v>
      </c>
      <c r="AS12" s="12">
        <v>30.974131140963141</v>
      </c>
      <c r="AT12" s="12">
        <v>19.797716392955675</v>
      </c>
      <c r="AU12" s="12">
        <v>29.799144186528896</v>
      </c>
      <c r="AV12" s="12">
        <v>-1.0950916081927762</v>
      </c>
      <c r="AW12" s="12">
        <v>-23.557418302039586</v>
      </c>
      <c r="AX12" s="12">
        <v>16.052288248239595</v>
      </c>
      <c r="AY12" s="12">
        <v>-12.054188366278648</v>
      </c>
      <c r="AZ12" s="12">
        <v>-7.6650363356852003</v>
      </c>
      <c r="BA12" s="12">
        <v>-15.846573913337634</v>
      </c>
      <c r="BB12" s="12">
        <v>-12.042868590099514</v>
      </c>
      <c r="BC12" s="12">
        <v>-2.8021689242478476</v>
      </c>
      <c r="BD12" s="12">
        <v>-3.47679046152283</v>
      </c>
      <c r="BE12" s="12">
        <v>15.410440608483169</v>
      </c>
      <c r="BF12" s="12">
        <v>7.3104943809377012</v>
      </c>
      <c r="BG12" s="12">
        <v>-19.589935800306719</v>
      </c>
      <c r="BH12" s="12">
        <v>-2.4257432866896571</v>
      </c>
      <c r="BI12" s="12">
        <v>26.458877501998725</v>
      </c>
      <c r="BJ12" s="12">
        <v>15.959103931033903</v>
      </c>
      <c r="BK12" s="12">
        <v>45.968036222642596</v>
      </c>
      <c r="BL12" s="12">
        <v>2.0333271437878944</v>
      </c>
      <c r="BM12"/>
      <c r="BN12" s="2"/>
      <c r="BO12" s="26"/>
      <c r="BP12" s="26"/>
      <c r="BQ12" s="26"/>
      <c r="BR12" s="26"/>
      <c r="BS12" s="26"/>
      <c r="BT12" s="26"/>
      <c r="BU12" s="26"/>
      <c r="BV12" s="26"/>
    </row>
    <row r="13" spans="1:74" s="15" customFormat="1">
      <c r="A13"/>
      <c r="B13" s="18" t="s">
        <v>39</v>
      </c>
      <c r="C13" s="16">
        <v>16614.010000000002</v>
      </c>
      <c r="D13" s="16">
        <v>15823.065000000002</v>
      </c>
      <c r="E13" s="16">
        <v>12420.911</v>
      </c>
      <c r="F13" s="16">
        <v>10895.165000000001</v>
      </c>
      <c r="G13" s="16">
        <v>9919.139000000001</v>
      </c>
      <c r="H13" s="16">
        <v>10290.394</v>
      </c>
      <c r="I13" s="16">
        <v>12377.379000000001</v>
      </c>
      <c r="J13" s="16">
        <v>11969.444000000001</v>
      </c>
      <c r="K13" s="16">
        <v>11828.775000000001</v>
      </c>
      <c r="L13" s="16">
        <v>11086.486000000001</v>
      </c>
      <c r="M13" s="16">
        <v>11872.651</v>
      </c>
      <c r="N13" s="16">
        <v>15583.635</v>
      </c>
      <c r="O13" s="16">
        <v>21199.342000000001</v>
      </c>
      <c r="P13" s="16">
        <v>27515.674999999999</v>
      </c>
      <c r="Q13" s="16">
        <v>27184.849999999995</v>
      </c>
      <c r="R13" s="16">
        <v>20827.491999999998</v>
      </c>
      <c r="S13" s="16">
        <v>24159.483</v>
      </c>
      <c r="T13" s="16">
        <v>22095.146999999997</v>
      </c>
      <c r="U13" s="16">
        <v>20388.674999999996</v>
      </c>
      <c r="V13" s="16">
        <v>17155.357000000004</v>
      </c>
      <c r="W13" s="16">
        <v>15017.61</v>
      </c>
      <c r="X13" s="16">
        <v>14666.711000000001</v>
      </c>
      <c r="Y13" s="16">
        <v>14064.653999999999</v>
      </c>
      <c r="Z13" s="16">
        <v>15935.689</v>
      </c>
      <c r="AA13" s="16">
        <v>17391.569000000003</v>
      </c>
      <c r="AB13" s="16">
        <v>13837.858000000002</v>
      </c>
      <c r="AC13" s="16">
        <v>13015.657999999999</v>
      </c>
      <c r="AD13" s="16">
        <v>16715.626000000004</v>
      </c>
      <c r="AE13" s="16">
        <v>19377.794999999998</v>
      </c>
      <c r="AF13" s="25">
        <v>27694.005000000001</v>
      </c>
      <c r="AG13" s="25">
        <v>28257.116000000002</v>
      </c>
      <c r="AH13"/>
      <c r="AI13" s="12">
        <v>-4.7607109903027602</v>
      </c>
      <c r="AJ13" s="12">
        <v>-21.501232536174264</v>
      </c>
      <c r="AK13" s="12">
        <v>-12.283688370361878</v>
      </c>
      <c r="AL13" s="12">
        <v>-8.9583406951615672</v>
      </c>
      <c r="AM13" s="12">
        <v>3.7428147745484681</v>
      </c>
      <c r="AN13" s="12">
        <v>20.280904696166157</v>
      </c>
      <c r="AO13" s="12">
        <v>-3.2958108497768346</v>
      </c>
      <c r="AP13" s="12">
        <v>-1.1752342046965578</v>
      </c>
      <c r="AQ13" s="12">
        <v>-6.2752820981039932</v>
      </c>
      <c r="AR13" s="12">
        <v>7.0912009450063715</v>
      </c>
      <c r="AS13" s="12">
        <v>31.256574458391814</v>
      </c>
      <c r="AT13" s="12">
        <v>36.035924866053399</v>
      </c>
      <c r="AU13" s="12">
        <v>29.794948352642255</v>
      </c>
      <c r="AV13" s="12">
        <v>-1.2023146806320557</v>
      </c>
      <c r="AW13" s="12">
        <v>-23.38566517747936</v>
      </c>
      <c r="AX13" s="12">
        <v>15.998042395118924</v>
      </c>
      <c r="AY13" s="12">
        <v>-8.5446199324712495</v>
      </c>
      <c r="AZ13" s="12">
        <v>-7.7232887384727595</v>
      </c>
      <c r="BA13" s="12">
        <v>-15.858401784323862</v>
      </c>
      <c r="BB13" s="12">
        <v>-12.461104714987876</v>
      </c>
      <c r="BC13" s="12">
        <v>-2.3365835176169805</v>
      </c>
      <c r="BD13" s="12">
        <v>-4.1049216828503843</v>
      </c>
      <c r="BE13" s="12">
        <v>13.303100097592177</v>
      </c>
      <c r="BF13" s="12">
        <v>9.1359714663106377</v>
      </c>
      <c r="BG13" s="12">
        <v>-20.433527302798272</v>
      </c>
      <c r="BH13" s="12">
        <v>-5.9416710302996494</v>
      </c>
      <c r="BI13" s="12">
        <v>28.427053015683146</v>
      </c>
      <c r="BJ13" s="12">
        <v>15.926229744551557</v>
      </c>
      <c r="BK13" s="12">
        <v>42.916183188025279</v>
      </c>
      <c r="BL13" s="12">
        <v>2.0333317625962759</v>
      </c>
      <c r="BM13"/>
      <c r="BN13" s="2"/>
      <c r="BO13" s="26"/>
      <c r="BP13" s="26"/>
      <c r="BQ13" s="26"/>
      <c r="BR13" s="26"/>
      <c r="BS13" s="26"/>
      <c r="BT13" s="26"/>
      <c r="BU13" s="26"/>
      <c r="BV13" s="26"/>
    </row>
    <row r="14" spans="1:74" s="15" customFormat="1">
      <c r="A14"/>
      <c r="B14" s="17" t="s">
        <v>40</v>
      </c>
      <c r="C14" s="16">
        <v>5980.2449999999999</v>
      </c>
      <c r="D14" s="16">
        <v>6424.5790000000006</v>
      </c>
      <c r="E14" s="16">
        <v>6779.0079999999998</v>
      </c>
      <c r="F14" s="16">
        <v>7213.1439999999993</v>
      </c>
      <c r="G14" s="16">
        <v>7571.0960000000014</v>
      </c>
      <c r="H14" s="16">
        <v>8086.625</v>
      </c>
      <c r="I14" s="16">
        <v>8607.6589999999997</v>
      </c>
      <c r="J14" s="16">
        <v>9125.8050000000003</v>
      </c>
      <c r="K14" s="16">
        <v>9631.5120000000006</v>
      </c>
      <c r="L14" s="16">
        <v>10946.47</v>
      </c>
      <c r="M14" s="16">
        <v>12027.148999999999</v>
      </c>
      <c r="N14" s="16">
        <v>13270.728999999998</v>
      </c>
      <c r="O14" s="16">
        <v>14765.954</v>
      </c>
      <c r="P14" s="16">
        <v>16123.182999999997</v>
      </c>
      <c r="Q14" s="16">
        <v>16268.785</v>
      </c>
      <c r="R14" s="16">
        <v>16484.670999999998</v>
      </c>
      <c r="S14" s="16">
        <v>16961.635999999999</v>
      </c>
      <c r="T14" s="16">
        <v>16751.067999999999</v>
      </c>
      <c r="U14" s="16">
        <v>16393.496999999999</v>
      </c>
      <c r="V14" s="16">
        <v>16871.672000000002</v>
      </c>
      <c r="W14" s="16">
        <v>17881.399000000001</v>
      </c>
      <c r="X14" s="16">
        <v>19202.587999999996</v>
      </c>
      <c r="Y14" s="16">
        <v>20863.793000000001</v>
      </c>
      <c r="Z14" s="16">
        <v>22843.510000000002</v>
      </c>
      <c r="AA14" s="16">
        <v>24153.156999999999</v>
      </c>
      <c r="AB14" s="16">
        <v>22679.734000000004</v>
      </c>
      <c r="AC14" s="16">
        <v>24204.727999999999</v>
      </c>
      <c r="AD14" s="16">
        <v>27491.334000000003</v>
      </c>
      <c r="AE14" s="16">
        <v>29614.668000000005</v>
      </c>
      <c r="AF14" s="25">
        <v>32348.870000000003</v>
      </c>
      <c r="AG14" s="25">
        <v>34916.697</v>
      </c>
      <c r="AH14"/>
      <c r="AI14" s="12">
        <v>7.4300300405752733</v>
      </c>
      <c r="AJ14" s="12">
        <v>5.5167661569730742</v>
      </c>
      <c r="AK14" s="12">
        <v>6.4041228451124335</v>
      </c>
      <c r="AL14" s="12">
        <v>4.9624962429698067</v>
      </c>
      <c r="AM14" s="12">
        <v>6.8091726746034995</v>
      </c>
      <c r="AN14" s="12">
        <v>6.4431576832114716</v>
      </c>
      <c r="AO14" s="12">
        <v>6.0195925512383877</v>
      </c>
      <c r="AP14" s="12">
        <v>5.5415056534738616</v>
      </c>
      <c r="AQ14" s="12">
        <v>13.652664296114656</v>
      </c>
      <c r="AR14" s="12">
        <v>9.8723972202911092</v>
      </c>
      <c r="AS14" s="12">
        <v>10.339773790114334</v>
      </c>
      <c r="AT14" s="12">
        <v>11.267090150058845</v>
      </c>
      <c r="AU14" s="12">
        <v>9.1916106470330163</v>
      </c>
      <c r="AV14" s="12">
        <v>0.90305989828436861</v>
      </c>
      <c r="AW14" s="12">
        <v>1.326995224289943</v>
      </c>
      <c r="AX14" s="12">
        <v>2.8933850120515006</v>
      </c>
      <c r="AY14" s="12">
        <v>-1.24143685196404</v>
      </c>
      <c r="AZ14" s="12">
        <v>-2.1346161331325257</v>
      </c>
      <c r="BA14" s="12">
        <v>2.9168578247826131</v>
      </c>
      <c r="BB14" s="12">
        <v>5.9847476883144646</v>
      </c>
      <c r="BC14" s="12">
        <v>7.3886221094892797</v>
      </c>
      <c r="BD14" s="12">
        <v>8.6509432999343918</v>
      </c>
      <c r="BE14" s="12">
        <v>9.4887684132985815</v>
      </c>
      <c r="BF14" s="12">
        <v>5.7331250757873775</v>
      </c>
      <c r="BG14" s="12">
        <v>-6.1003329709652254</v>
      </c>
      <c r="BH14" s="12">
        <v>6.7240382978036459</v>
      </c>
      <c r="BI14" s="12">
        <v>13.578363698199803</v>
      </c>
      <c r="BJ14" s="12">
        <v>7.7236484777348471</v>
      </c>
      <c r="BK14" s="12">
        <v>9.2325937943994401</v>
      </c>
      <c r="BL14" s="12">
        <v>7.9379186970054825</v>
      </c>
      <c r="BM14"/>
      <c r="BN14" s="2"/>
      <c r="BO14" s="26"/>
      <c r="BP14" s="26"/>
      <c r="BQ14" s="26"/>
      <c r="BR14" s="26"/>
      <c r="BS14" s="26"/>
      <c r="BT14" s="26"/>
      <c r="BU14" s="26"/>
      <c r="BV14" s="26"/>
    </row>
    <row r="15" spans="1:74" s="15" customFormat="1">
      <c r="A15"/>
      <c r="B15" s="18" t="s">
        <v>39</v>
      </c>
      <c r="C15" s="16"/>
      <c r="D15" s="16"/>
      <c r="E15" s="16"/>
      <c r="F15" s="16">
        <v>3843.08</v>
      </c>
      <c r="G15" s="16">
        <v>4944.2700000000004</v>
      </c>
      <c r="H15" s="16">
        <v>5586.0120000000006</v>
      </c>
      <c r="I15" s="16">
        <v>5840.5880000000006</v>
      </c>
      <c r="J15" s="16">
        <v>6231.54</v>
      </c>
      <c r="K15" s="16">
        <v>6449.4920000000002</v>
      </c>
      <c r="L15" s="16">
        <v>6700.7739999999994</v>
      </c>
      <c r="M15" s="16">
        <v>7093.2650000000003</v>
      </c>
      <c r="N15" s="16">
        <v>7578.88</v>
      </c>
      <c r="O15" s="16">
        <v>8052.4839999999995</v>
      </c>
      <c r="P15" s="16">
        <v>8398.9900000000016</v>
      </c>
      <c r="Q15" s="16">
        <v>7966.9620000000004</v>
      </c>
      <c r="R15" s="16">
        <v>7632.3159999999989</v>
      </c>
      <c r="S15" s="16">
        <v>7390.4100000000008</v>
      </c>
      <c r="T15" s="16">
        <v>6906.7680000000009</v>
      </c>
      <c r="U15" s="16">
        <v>6367.0379999999996</v>
      </c>
      <c r="V15" s="16">
        <v>6192.1990000000005</v>
      </c>
      <c r="W15" s="16">
        <v>6209.2870000000003</v>
      </c>
      <c r="X15" s="16">
        <v>6345.5420000000004</v>
      </c>
      <c r="Y15" s="16">
        <v>6541.799</v>
      </c>
      <c r="Z15" s="16">
        <v>6740.357</v>
      </c>
      <c r="AA15" s="16">
        <v>6873.8900000000012</v>
      </c>
      <c r="AB15" s="16">
        <v>5882.0899999999992</v>
      </c>
      <c r="AC15" s="16">
        <v>6173.2620000000006</v>
      </c>
      <c r="AD15" s="16">
        <v>6825.7480000000005</v>
      </c>
      <c r="AE15" s="16">
        <v>7212.5420000000013</v>
      </c>
      <c r="AF15" s="25">
        <v>7567.1939999999995</v>
      </c>
      <c r="AG15" s="25">
        <v>7784.2149999999983</v>
      </c>
      <c r="AH15"/>
      <c r="AI15" s="12"/>
      <c r="AJ15" s="12"/>
      <c r="AK15" s="12"/>
      <c r="AL15" s="12">
        <v>28.653840149047134</v>
      </c>
      <c r="AM15" s="12">
        <v>12.979509614159424</v>
      </c>
      <c r="AN15" s="12">
        <v>4.5573836934113281</v>
      </c>
      <c r="AO15" s="12">
        <v>6.6937096059506214</v>
      </c>
      <c r="AP15" s="12">
        <v>3.4975624003055459</v>
      </c>
      <c r="AQ15" s="12">
        <v>3.8961518209496071</v>
      </c>
      <c r="AR15" s="12">
        <v>5.8573979662648075</v>
      </c>
      <c r="AS15" s="12">
        <v>6.8461420798461603</v>
      </c>
      <c r="AT15" s="12">
        <v>6.2489972133085541</v>
      </c>
      <c r="AU15" s="12">
        <v>4.3030945482164524</v>
      </c>
      <c r="AV15" s="12">
        <v>-5.1438089579818662</v>
      </c>
      <c r="AW15" s="12">
        <v>-4.2004216914804102</v>
      </c>
      <c r="AX15" s="12">
        <v>-3.1694966508199891</v>
      </c>
      <c r="AY15" s="12">
        <v>-6.5441836109228007</v>
      </c>
      <c r="AZ15" s="12">
        <v>-7.8145088990972527</v>
      </c>
      <c r="BA15" s="12">
        <v>-2.7460021441681208</v>
      </c>
      <c r="BB15" s="12">
        <v>0.2759601233745837</v>
      </c>
      <c r="BC15" s="12">
        <v>2.1943743299351457</v>
      </c>
      <c r="BD15" s="12">
        <v>3.0928327320187874</v>
      </c>
      <c r="BE15" s="12">
        <v>3.0352201282858124</v>
      </c>
      <c r="BF15" s="12">
        <v>1.981096846947443</v>
      </c>
      <c r="BG15" s="12">
        <v>-14.428511366926179</v>
      </c>
      <c r="BH15" s="12">
        <v>4.9501452714936605</v>
      </c>
      <c r="BI15" s="12">
        <v>10.569549777735011</v>
      </c>
      <c r="BJ15" s="12">
        <v>5.6666903026598812</v>
      </c>
      <c r="BK15" s="12">
        <v>4.9171568082376247</v>
      </c>
      <c r="BL15" s="12">
        <v>2.8679190727764987</v>
      </c>
      <c r="BM15"/>
      <c r="BN15" s="2"/>
      <c r="BO15" s="26"/>
      <c r="BP15" s="26"/>
      <c r="BQ15" s="26"/>
      <c r="BR15" s="26"/>
      <c r="BS15" s="26"/>
      <c r="BT15" s="26"/>
      <c r="BU15" s="26"/>
      <c r="BV15" s="26"/>
    </row>
    <row r="16" spans="1:74" s="15" customFormat="1">
      <c r="A16"/>
      <c r="B16" s="17" t="s">
        <v>38</v>
      </c>
      <c r="C16" s="16">
        <v>2452.0910000000003</v>
      </c>
      <c r="D16" s="16">
        <v>2220.4290000000001</v>
      </c>
      <c r="E16" s="16">
        <v>4006.9169999999999</v>
      </c>
      <c r="F16" s="16">
        <v>7502.9130000000005</v>
      </c>
      <c r="G16" s="16">
        <v>9797.7159999999985</v>
      </c>
      <c r="H16" s="16">
        <v>11619.111999999999</v>
      </c>
      <c r="I16" s="16">
        <v>9277.8909999999996</v>
      </c>
      <c r="J16" s="16">
        <v>8858.616</v>
      </c>
      <c r="K16" s="16">
        <v>12261.797</v>
      </c>
      <c r="L16" s="16">
        <v>16812.030000000002</v>
      </c>
      <c r="M16" s="16">
        <v>24807.909</v>
      </c>
      <c r="N16" s="16">
        <v>42438.516000000003</v>
      </c>
      <c r="O16" s="16">
        <v>31445.562999999998</v>
      </c>
      <c r="P16" s="16">
        <v>17821.411</v>
      </c>
      <c r="Q16" s="16">
        <v>13338.580999999998</v>
      </c>
      <c r="R16" s="16">
        <v>10506.636</v>
      </c>
      <c r="S16" s="16">
        <v>9249.9809999999998</v>
      </c>
      <c r="T16" s="16">
        <v>7418.5719999999992</v>
      </c>
      <c r="U16" s="16">
        <v>7794.0090000000009</v>
      </c>
      <c r="V16" s="16">
        <v>10405.352000000001</v>
      </c>
      <c r="W16" s="16">
        <v>13319.8</v>
      </c>
      <c r="X16" s="16">
        <v>13383.248</v>
      </c>
      <c r="Y16" s="16">
        <v>16643.542999999998</v>
      </c>
      <c r="Z16" s="16">
        <v>20954.04</v>
      </c>
      <c r="AA16" s="16">
        <v>20659.555</v>
      </c>
      <c r="AB16" s="16">
        <v>18121.800999999999</v>
      </c>
      <c r="AC16" s="16">
        <v>24448.336999999996</v>
      </c>
      <c r="AD16" s="16">
        <v>26257.392</v>
      </c>
      <c r="AE16" s="16">
        <v>23658.600000000002</v>
      </c>
      <c r="AF16" s="25">
        <v>31419.974000000006</v>
      </c>
      <c r="AG16" s="25">
        <v>41660.382999999994</v>
      </c>
      <c r="AH16"/>
      <c r="AI16" s="12">
        <v>-9.4475286602332549</v>
      </c>
      <c r="AJ16" s="12">
        <v>80.456884683095012</v>
      </c>
      <c r="AK16" s="12">
        <v>87.249024624168669</v>
      </c>
      <c r="AL16" s="12">
        <v>30.585493927491868</v>
      </c>
      <c r="AM16" s="12">
        <v>18.5900060789678</v>
      </c>
      <c r="AN16" s="12">
        <v>-20.149741219466684</v>
      </c>
      <c r="AO16" s="12">
        <v>-4.5190765875563708</v>
      </c>
      <c r="AP16" s="12">
        <v>38.416621738655344</v>
      </c>
      <c r="AQ16" s="12">
        <v>37.109022437738957</v>
      </c>
      <c r="AR16" s="12">
        <v>47.560461169769475</v>
      </c>
      <c r="AS16" s="12">
        <v>71.068492713352043</v>
      </c>
      <c r="AT16" s="12">
        <v>-25.903245532902243</v>
      </c>
      <c r="AU16" s="12">
        <v>-43.326150655976484</v>
      </c>
      <c r="AV16" s="12">
        <v>-25.154181113942109</v>
      </c>
      <c r="AW16" s="12">
        <v>-21.231231418094609</v>
      </c>
      <c r="AX16" s="12">
        <v>-11.960583768201358</v>
      </c>
      <c r="AY16" s="12">
        <v>-19.799056884549284</v>
      </c>
      <c r="AZ16" s="12">
        <v>5.0607718035223188</v>
      </c>
      <c r="BA16" s="12">
        <v>33.504490436179886</v>
      </c>
      <c r="BB16" s="12">
        <v>28.009124535143055</v>
      </c>
      <c r="BC16" s="12">
        <v>0.47634348864097303</v>
      </c>
      <c r="BD16" s="12">
        <v>24.361014605722008</v>
      </c>
      <c r="BE16" s="12">
        <v>25.898914672194518</v>
      </c>
      <c r="BF16" s="12">
        <v>-1.4053853099450062</v>
      </c>
      <c r="BG16" s="12">
        <v>-12.283681812120353</v>
      </c>
      <c r="BH16" s="12">
        <v>34.911187911179447</v>
      </c>
      <c r="BI16" s="12">
        <v>7.3995012421499444</v>
      </c>
      <c r="BJ16" s="12">
        <v>-9.8973728997914101</v>
      </c>
      <c r="BK16" s="12">
        <v>32.805719696009078</v>
      </c>
      <c r="BL16" s="12">
        <v>32.592035244841341</v>
      </c>
      <c r="BM16"/>
      <c r="BN16" s="2"/>
      <c r="BO16" s="26"/>
      <c r="BP16" s="26"/>
      <c r="BQ16" s="26"/>
      <c r="BR16" s="26"/>
      <c r="BS16" s="26"/>
      <c r="BT16" s="26"/>
      <c r="BU16" s="26"/>
      <c r="BV16" s="26"/>
    </row>
    <row r="17" spans="1:74" s="15" customFormat="1">
      <c r="A17"/>
      <c r="B17" s="18" t="s">
        <v>37</v>
      </c>
      <c r="C17" s="16"/>
      <c r="D17" s="16"/>
      <c r="E17" s="16"/>
      <c r="F17" s="16"/>
      <c r="G17" s="16">
        <v>3963.4749999999995</v>
      </c>
      <c r="H17" s="16">
        <v>5032.6089999999995</v>
      </c>
      <c r="I17" s="16">
        <v>2985.2909999999997</v>
      </c>
      <c r="J17" s="16">
        <v>2503.2139999999999</v>
      </c>
      <c r="K17" s="16">
        <v>1653.462</v>
      </c>
      <c r="L17" s="16">
        <v>1756.645</v>
      </c>
      <c r="M17" s="16">
        <v>2138.768</v>
      </c>
      <c r="N17" s="16">
        <v>3975.2069999999999</v>
      </c>
      <c r="O17" s="16">
        <v>4451.5389999999998</v>
      </c>
      <c r="P17" s="16">
        <v>5659.0999999999985</v>
      </c>
      <c r="Q17" s="16">
        <v>2966.1169999999997</v>
      </c>
      <c r="R17" s="16">
        <v>2130.6890000000003</v>
      </c>
      <c r="S17" s="16">
        <v>1853.7739999999999</v>
      </c>
      <c r="T17" s="16">
        <v>1700.3859999999997</v>
      </c>
      <c r="U17" s="16">
        <v>1397.0709999999999</v>
      </c>
      <c r="V17" s="16">
        <v>1628.7950000000001</v>
      </c>
      <c r="W17" s="16">
        <v>2168.7929999999997</v>
      </c>
      <c r="X17" s="16">
        <v>1642.1060000000002</v>
      </c>
      <c r="Y17" s="16">
        <v>2042.105</v>
      </c>
      <c r="Z17" s="16">
        <v>1808.1999999999998</v>
      </c>
      <c r="AA17" s="16">
        <v>1816.1910000000003</v>
      </c>
      <c r="AB17" s="16">
        <v>2039.894</v>
      </c>
      <c r="AC17" s="16">
        <v>2295.9409999999998</v>
      </c>
      <c r="AD17" s="16">
        <v>1997.0320000000004</v>
      </c>
      <c r="AE17" s="16">
        <v>1980.1230000000003</v>
      </c>
      <c r="AF17" s="25">
        <v>3129.0889999999999</v>
      </c>
      <c r="AG17" s="25">
        <v>3256.6750000000002</v>
      </c>
      <c r="AH17"/>
      <c r="AI17" s="12"/>
      <c r="AJ17" s="12"/>
      <c r="AK17" s="12"/>
      <c r="AL17" s="12"/>
      <c r="AM17" s="12">
        <v>26.974662385911355</v>
      </c>
      <c r="AN17" s="12">
        <v>-40.681046351902168</v>
      </c>
      <c r="AO17" s="12">
        <v>-16.148408982574892</v>
      </c>
      <c r="AP17" s="12">
        <v>-33.946438458717473</v>
      </c>
      <c r="AQ17" s="12">
        <v>6.2404216123503291</v>
      </c>
      <c r="AR17" s="12">
        <v>21.753000748586086</v>
      </c>
      <c r="AS17" s="12">
        <v>85.86433872210543</v>
      </c>
      <c r="AT17" s="12">
        <v>11.982570970518012</v>
      </c>
      <c r="AU17" s="12">
        <v>27.126820634391809</v>
      </c>
      <c r="AV17" s="12">
        <v>-47.586771748157823</v>
      </c>
      <c r="AW17" s="12">
        <v>-28.165712950635445</v>
      </c>
      <c r="AX17" s="12">
        <v>-12.996500193130034</v>
      </c>
      <c r="AY17" s="12">
        <v>-8.2743635416183494</v>
      </c>
      <c r="AZ17" s="12">
        <v>-17.838008546294773</v>
      </c>
      <c r="BA17" s="12">
        <v>16.586415436294946</v>
      </c>
      <c r="BB17" s="12">
        <v>33.153220632430696</v>
      </c>
      <c r="BC17" s="12">
        <v>-24.284798042044564</v>
      </c>
      <c r="BD17" s="12">
        <v>24.35890253126167</v>
      </c>
      <c r="BE17" s="12">
        <v>-11.454112300787678</v>
      </c>
      <c r="BF17" s="12">
        <v>0.44193120230065486</v>
      </c>
      <c r="BG17" s="12">
        <v>12.317151665215812</v>
      </c>
      <c r="BH17" s="12">
        <v>12.551975739915887</v>
      </c>
      <c r="BI17" s="12">
        <v>-13.019019216957206</v>
      </c>
      <c r="BJ17" s="12">
        <v>-0.84670651246450246</v>
      </c>
      <c r="BK17" s="12">
        <v>58.02498127641563</v>
      </c>
      <c r="BL17" s="12">
        <v>4.0774167816895028</v>
      </c>
      <c r="BM17"/>
      <c r="BN17" s="2"/>
      <c r="BO17" s="33"/>
      <c r="BP17" s="33"/>
      <c r="BQ17" s="33"/>
      <c r="BR17" s="33"/>
      <c r="BS17" s="33"/>
      <c r="BT17" s="33"/>
      <c r="BU17" s="33"/>
      <c r="BV17" s="33"/>
    </row>
    <row r="18" spans="1:74" s="15" customFormat="1">
      <c r="A18"/>
      <c r="B18" s="17" t="s">
        <v>36</v>
      </c>
      <c r="C18" s="16">
        <v>24507.735000000001</v>
      </c>
      <c r="D18" s="16">
        <v>24851.530999999999</v>
      </c>
      <c r="E18" s="16">
        <v>26230.866000000002</v>
      </c>
      <c r="F18" s="16">
        <v>27557.233</v>
      </c>
      <c r="G18" s="16">
        <v>28059.069000000003</v>
      </c>
      <c r="H18" s="16">
        <v>28757.946000000004</v>
      </c>
      <c r="I18" s="16">
        <v>30067.129000000001</v>
      </c>
      <c r="J18" s="16">
        <v>31655.246999999999</v>
      </c>
      <c r="K18" s="16">
        <v>33276.860999999997</v>
      </c>
      <c r="L18" s="16">
        <v>33531.468000000001</v>
      </c>
      <c r="M18" s="16">
        <v>34000.416000000005</v>
      </c>
      <c r="N18" s="16">
        <v>36528.555999999997</v>
      </c>
      <c r="O18" s="16">
        <v>38136.894999999997</v>
      </c>
      <c r="P18" s="16">
        <v>34729.599999999999</v>
      </c>
      <c r="Q18" s="16">
        <v>30801.328000000001</v>
      </c>
      <c r="R18" s="16">
        <v>30282.437000000002</v>
      </c>
      <c r="S18" s="16">
        <v>29007.425999999996</v>
      </c>
      <c r="T18" s="16">
        <v>28162.777999999998</v>
      </c>
      <c r="U18" s="16">
        <v>28654.124</v>
      </c>
      <c r="V18" s="16">
        <v>30095.200000000001</v>
      </c>
      <c r="W18" s="16">
        <v>34432.851000000002</v>
      </c>
      <c r="X18" s="16">
        <v>36290.018000000004</v>
      </c>
      <c r="Y18" s="16">
        <v>38488.455000000002</v>
      </c>
      <c r="Z18" s="16">
        <v>41031.699000000001</v>
      </c>
      <c r="AA18" s="16">
        <v>42160.686000000002</v>
      </c>
      <c r="AB18" s="16">
        <v>36862.313999999998</v>
      </c>
      <c r="AC18" s="16">
        <v>46854.453000000001</v>
      </c>
      <c r="AD18" s="16">
        <v>50287.975999999995</v>
      </c>
      <c r="AE18" s="16">
        <v>52744.411</v>
      </c>
      <c r="AF18" s="25">
        <v>58702.036</v>
      </c>
      <c r="AG18" s="25">
        <v>63750.412000000004</v>
      </c>
      <c r="AH18"/>
      <c r="AI18" s="12">
        <v>1.4028060936679723</v>
      </c>
      <c r="AJ18" s="12">
        <v>5.5503019109768443</v>
      </c>
      <c r="AK18" s="12">
        <v>5.0565124308133722</v>
      </c>
      <c r="AL18" s="12">
        <v>1.8210681747329385</v>
      </c>
      <c r="AM18" s="12">
        <v>2.4907348137602154</v>
      </c>
      <c r="AN18" s="12">
        <v>4.5524217897898449</v>
      </c>
      <c r="AO18" s="12">
        <v>5.2819076939470966</v>
      </c>
      <c r="AP18" s="12">
        <v>5.1227336814020052</v>
      </c>
      <c r="AQ18" s="12">
        <v>0.76511723867225223</v>
      </c>
      <c r="AR18" s="12">
        <v>1.3985310753469069</v>
      </c>
      <c r="AS18" s="12">
        <v>7.4356149054176033</v>
      </c>
      <c r="AT18" s="12">
        <v>4.4029635335160799</v>
      </c>
      <c r="AU18" s="12">
        <v>-8.9343796866525143</v>
      </c>
      <c r="AV18" s="12">
        <v>-11.311019994471566</v>
      </c>
      <c r="AW18" s="12">
        <v>-1.6846384026039383</v>
      </c>
      <c r="AX18" s="12">
        <v>-4.210397597789127</v>
      </c>
      <c r="AY18" s="12">
        <v>-2.911833680106596</v>
      </c>
      <c r="AZ18" s="12">
        <v>1.744664535579556</v>
      </c>
      <c r="BA18" s="12">
        <v>5.0292097570318361</v>
      </c>
      <c r="BB18" s="12">
        <v>14.413099098859623</v>
      </c>
      <c r="BC18" s="12">
        <v>5.3935905568783751</v>
      </c>
      <c r="BD18" s="12">
        <v>6.0579661327255279</v>
      </c>
      <c r="BE18" s="12">
        <v>6.6078100562883044</v>
      </c>
      <c r="BF18" s="12">
        <v>2.7514995174828147</v>
      </c>
      <c r="BG18" s="12">
        <v>-12.567091531670055</v>
      </c>
      <c r="BH18" s="12">
        <v>27.106651524915129</v>
      </c>
      <c r="BI18" s="12">
        <v>7.328061219709455</v>
      </c>
      <c r="BJ18" s="12">
        <v>4.8847362637939638</v>
      </c>
      <c r="BK18" s="12">
        <v>11.295272592957764</v>
      </c>
      <c r="BL18" s="12">
        <v>8.6000015399806635</v>
      </c>
      <c r="BM18"/>
      <c r="BN18" s="2"/>
      <c r="BO18" s="33"/>
      <c r="BP18" s="33"/>
      <c r="BQ18" s="33"/>
      <c r="BR18" s="33"/>
      <c r="BS18" s="33"/>
      <c r="BT18" s="33"/>
      <c r="BU18" s="33"/>
      <c r="BV18" s="33"/>
    </row>
    <row r="19" spans="1:74" s="15" customFormat="1">
      <c r="A19"/>
      <c r="B19" s="17" t="s">
        <v>35</v>
      </c>
      <c r="C19" s="16">
        <v>22924.406000000003</v>
      </c>
      <c r="D19" s="16">
        <v>22986.787</v>
      </c>
      <c r="E19" s="16">
        <v>24257.034999999996</v>
      </c>
      <c r="F19" s="16">
        <v>25076.460999999999</v>
      </c>
      <c r="G19" s="16">
        <v>25921.991000000002</v>
      </c>
      <c r="H19" s="16">
        <v>26445.539000000004</v>
      </c>
      <c r="I19" s="16">
        <v>27442.493000000002</v>
      </c>
      <c r="J19" s="16">
        <v>28958.816999999999</v>
      </c>
      <c r="K19" s="16">
        <v>30422.184999999998</v>
      </c>
      <c r="L19" s="16">
        <v>31981.936000000002</v>
      </c>
      <c r="M19" s="16">
        <v>32332.21</v>
      </c>
      <c r="N19" s="16">
        <v>34653.129000000001</v>
      </c>
      <c r="O19" s="16">
        <v>36156.303999999996</v>
      </c>
      <c r="P19" s="16">
        <v>32441.167000000001</v>
      </c>
      <c r="Q19" s="16">
        <v>28266.448</v>
      </c>
      <c r="R19" s="16">
        <v>27479.243000000002</v>
      </c>
      <c r="S19" s="16">
        <v>26061.891</v>
      </c>
      <c r="T19" s="16">
        <v>24941.620999999999</v>
      </c>
      <c r="U19" s="16">
        <v>25228.784</v>
      </c>
      <c r="V19" s="16">
        <v>26625.506999999998</v>
      </c>
      <c r="W19" s="16">
        <v>29946.077000000001</v>
      </c>
      <c r="X19" s="16">
        <v>31597.267</v>
      </c>
      <c r="Y19" s="16">
        <v>33594.955000000002</v>
      </c>
      <c r="Z19" s="16">
        <v>36022.328999999998</v>
      </c>
      <c r="AA19" s="16">
        <v>36950.788</v>
      </c>
      <c r="AB19" s="16">
        <v>31483.173999999999</v>
      </c>
      <c r="AC19" s="16">
        <v>41228.264999999999</v>
      </c>
      <c r="AD19" s="16">
        <v>44707.474000000002</v>
      </c>
      <c r="AE19" s="16">
        <v>47100.720999999998</v>
      </c>
      <c r="AF19" s="25">
        <v>53023.262000000002</v>
      </c>
      <c r="AG19" s="25">
        <v>57583.263000000006</v>
      </c>
      <c r="AH19"/>
      <c r="AI19" s="12">
        <v>0.27211610193955549</v>
      </c>
      <c r="AJ19" s="12">
        <v>5.5259919535513857</v>
      </c>
      <c r="AK19" s="12">
        <v>3.3780962924776388</v>
      </c>
      <c r="AL19" s="12">
        <v>3.3718075289810732</v>
      </c>
      <c r="AM19" s="12">
        <v>2.0197059708878169</v>
      </c>
      <c r="AN19" s="12">
        <v>3.7698380811977317</v>
      </c>
      <c r="AO19" s="12">
        <v>5.5254600957718987</v>
      </c>
      <c r="AP19" s="12">
        <v>5.0532727217413571</v>
      </c>
      <c r="AQ19" s="12">
        <v>5.1270183256068034</v>
      </c>
      <c r="AR19" s="12">
        <v>1.0952245042326318</v>
      </c>
      <c r="AS19" s="12">
        <v>7.1783493921386805</v>
      </c>
      <c r="AT19" s="12">
        <v>4.337775673879249</v>
      </c>
      <c r="AU19" s="12">
        <v>-10.275212311523864</v>
      </c>
      <c r="AV19" s="12">
        <v>-12.868584536431753</v>
      </c>
      <c r="AW19" s="12">
        <v>-2.7849448929699201</v>
      </c>
      <c r="AX19" s="12">
        <v>-5.1579004559914639</v>
      </c>
      <c r="AY19" s="12">
        <v>-4.29849852414777</v>
      </c>
      <c r="AZ19" s="12">
        <v>1.1513405644324419</v>
      </c>
      <c r="BA19" s="12">
        <v>5.5362279846702007</v>
      </c>
      <c r="BB19" s="12">
        <v>12.471386929833876</v>
      </c>
      <c r="BC19" s="12">
        <v>5.5138774938700612</v>
      </c>
      <c r="BD19" s="12">
        <v>6.322344271104213</v>
      </c>
      <c r="BE19" s="12">
        <v>7.2254122680027288</v>
      </c>
      <c r="BF19" s="12">
        <v>2.5774541118649008</v>
      </c>
      <c r="BG19" s="12">
        <v>-14.797015966208898</v>
      </c>
      <c r="BH19" s="12">
        <v>30.953330817280371</v>
      </c>
      <c r="BI19" s="12">
        <v>8.4388925898288534</v>
      </c>
      <c r="BJ19" s="12">
        <v>5.3531250725549731</v>
      </c>
      <c r="BK19" s="12">
        <v>12.574204543493092</v>
      </c>
      <c r="BL19" s="12">
        <v>8.6000008826314822</v>
      </c>
      <c r="BM19"/>
      <c r="BN19" s="2"/>
      <c r="BO19" s="33"/>
      <c r="BP19" s="33"/>
      <c r="BQ19" s="33"/>
      <c r="BR19" s="33"/>
      <c r="BS19" s="33"/>
      <c r="BT19" s="33"/>
      <c r="BU19" s="33"/>
      <c r="BV19" s="33"/>
    </row>
    <row r="20" spans="1:74" s="15" customFormat="1">
      <c r="A20"/>
      <c r="B20" s="17" t="s">
        <v>34</v>
      </c>
      <c r="C20" s="16">
        <v>1583.329</v>
      </c>
      <c r="D20" s="16">
        <v>1864.7439999999999</v>
      </c>
      <c r="E20" s="16">
        <v>1973.8309999999999</v>
      </c>
      <c r="F20" s="16">
        <v>2480.7719999999999</v>
      </c>
      <c r="G20" s="16">
        <v>2137.078</v>
      </c>
      <c r="H20" s="16">
        <v>2312.4070000000002</v>
      </c>
      <c r="I20" s="16">
        <v>2624.636</v>
      </c>
      <c r="J20" s="16">
        <v>2696.43</v>
      </c>
      <c r="K20" s="16">
        <v>2854.6759999999999</v>
      </c>
      <c r="L20" s="16">
        <v>1549.5319999999999</v>
      </c>
      <c r="M20" s="16">
        <v>1668.2059999999999</v>
      </c>
      <c r="N20" s="16">
        <v>1875.4269999999999</v>
      </c>
      <c r="O20" s="16">
        <v>1980.5909999999999</v>
      </c>
      <c r="P20" s="16">
        <v>2288.433</v>
      </c>
      <c r="Q20" s="16">
        <v>2534.88</v>
      </c>
      <c r="R20" s="16">
        <v>2803.194</v>
      </c>
      <c r="S20" s="16">
        <v>2945.5349999999999</v>
      </c>
      <c r="T20" s="16">
        <v>3221.1570000000002</v>
      </c>
      <c r="U20" s="16">
        <v>3425.34</v>
      </c>
      <c r="V20" s="16">
        <v>3469.6930000000002</v>
      </c>
      <c r="W20" s="16">
        <v>4486.7740000000003</v>
      </c>
      <c r="X20" s="16">
        <v>4692.7510000000002</v>
      </c>
      <c r="Y20" s="16">
        <v>4893.5</v>
      </c>
      <c r="Z20" s="16">
        <v>5009.37</v>
      </c>
      <c r="AA20" s="16">
        <v>5209.8980000000001</v>
      </c>
      <c r="AB20" s="16">
        <v>5379.14</v>
      </c>
      <c r="AC20" s="16">
        <v>5626.1880000000001</v>
      </c>
      <c r="AD20" s="16">
        <v>5580.5020000000004</v>
      </c>
      <c r="AE20" s="16">
        <v>5643.69</v>
      </c>
      <c r="AF20" s="25">
        <v>5678.7740000000003</v>
      </c>
      <c r="AG20" s="25">
        <v>6167.1490000000003</v>
      </c>
      <c r="AH20"/>
      <c r="AI20" s="12">
        <v>17.773627590980773</v>
      </c>
      <c r="AJ20" s="12">
        <v>5.849971899628045</v>
      </c>
      <c r="AK20" s="12">
        <v>25.683100528870003</v>
      </c>
      <c r="AL20" s="12">
        <v>-13.854316317662404</v>
      </c>
      <c r="AM20" s="12">
        <v>8.2041460349130997</v>
      </c>
      <c r="AN20" s="12">
        <v>13.502337607523234</v>
      </c>
      <c r="AO20" s="12">
        <v>2.7353888310607593</v>
      </c>
      <c r="AP20" s="12">
        <v>5.8687227185575042</v>
      </c>
      <c r="AQ20" s="12">
        <v>-45.719514228584963</v>
      </c>
      <c r="AR20" s="12">
        <v>7.6586995299225817</v>
      </c>
      <c r="AS20" s="12">
        <v>12.421787237307623</v>
      </c>
      <c r="AT20" s="12">
        <v>5.6074696589096771</v>
      </c>
      <c r="AU20" s="12">
        <v>15.542936426551476</v>
      </c>
      <c r="AV20" s="12">
        <v>10.769246903885765</v>
      </c>
      <c r="AW20" s="12">
        <v>10.584879757621657</v>
      </c>
      <c r="AX20" s="12">
        <v>5.0778148069666207</v>
      </c>
      <c r="AY20" s="12">
        <v>9.3572814446272172</v>
      </c>
      <c r="AZ20" s="12">
        <v>6.3388093160314751</v>
      </c>
      <c r="BA20" s="12">
        <v>1.2948495623792109</v>
      </c>
      <c r="BB20" s="12">
        <v>29.313285065854529</v>
      </c>
      <c r="BC20" s="12">
        <v>4.5907594186825511</v>
      </c>
      <c r="BD20" s="12">
        <v>4.2778532251125148</v>
      </c>
      <c r="BE20" s="12">
        <v>2.3678348830080695</v>
      </c>
      <c r="BF20" s="12">
        <v>4.0030582688042662</v>
      </c>
      <c r="BG20" s="12">
        <v>3.2484705074840274</v>
      </c>
      <c r="BH20" s="12">
        <v>4.5927044099986203</v>
      </c>
      <c r="BI20" s="12">
        <v>-0.81202405607490713</v>
      </c>
      <c r="BJ20" s="12">
        <v>1.1322995673148972</v>
      </c>
      <c r="BK20" s="12">
        <v>0.62165001975659084</v>
      </c>
      <c r="BL20" s="12">
        <v>8.6000076777135348</v>
      </c>
      <c r="BM20"/>
      <c r="BN20" s="2"/>
      <c r="BO20" s="33"/>
      <c r="BP20" s="33"/>
      <c r="BQ20" s="33"/>
      <c r="BR20" s="33"/>
      <c r="BS20" s="33"/>
      <c r="BT20" s="33"/>
      <c r="BU20" s="33"/>
      <c r="BV20" s="33"/>
    </row>
    <row r="21" spans="1:74" s="15" customFormat="1" ht="6.75" customHeight="1">
      <c r="A21"/>
      <c r="B21" s="2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/>
      <c r="BN21" s="2"/>
    </row>
    <row r="22" spans="1:74" s="15" customFormat="1">
      <c r="A22"/>
      <c r="B22" s="32" t="s">
        <v>33</v>
      </c>
      <c r="C22" s="31">
        <v>12.32468620989645</v>
      </c>
      <c r="D22" s="31">
        <v>12.122454728176242</v>
      </c>
      <c r="E22" s="31">
        <v>11.920809968617567</v>
      </c>
      <c r="F22" s="31">
        <v>11.98707006443785</v>
      </c>
      <c r="G22" s="31">
        <v>10.64191118405633</v>
      </c>
      <c r="H22" s="31">
        <v>10.937088706962484</v>
      </c>
      <c r="I22" s="31">
        <v>11.412631696496359</v>
      </c>
      <c r="J22" s="31">
        <v>11.684434594183818</v>
      </c>
      <c r="K22" s="31">
        <v>10.698723566369146</v>
      </c>
      <c r="L22" s="31">
        <v>10.986154411912629</v>
      </c>
      <c r="M22" s="31">
        <v>11.396905022066191</v>
      </c>
      <c r="N22" s="31">
        <v>11.926137933795225</v>
      </c>
      <c r="O22" s="31">
        <v>11.863450237883441</v>
      </c>
      <c r="P22" s="31">
        <v>10.86272783000441</v>
      </c>
      <c r="Q22" s="31">
        <v>10.717532256025407</v>
      </c>
      <c r="R22" s="31">
        <v>11.659934311387698</v>
      </c>
      <c r="S22" s="31">
        <v>11.867860429002739</v>
      </c>
      <c r="T22" s="31">
        <v>12.528469536017665</v>
      </c>
      <c r="U22" s="31">
        <v>12.772861916863516</v>
      </c>
      <c r="V22" s="31">
        <v>12.985060771362976</v>
      </c>
      <c r="W22" s="31">
        <v>12.074236543053312</v>
      </c>
      <c r="X22" s="31">
        <v>12.299108060348308</v>
      </c>
      <c r="Y22" s="31">
        <v>12.531402320970372</v>
      </c>
      <c r="Z22" s="31">
        <v>12.661545054053059</v>
      </c>
      <c r="AA22" s="31">
        <v>12.749522376251685</v>
      </c>
      <c r="AB22" s="31">
        <v>12.763676420518749</v>
      </c>
      <c r="AC22" s="31">
        <v>13.44305175513775</v>
      </c>
      <c r="AD22" s="31">
        <v>13.945066245995545</v>
      </c>
      <c r="AE22" s="31">
        <v>14.029522948009229</v>
      </c>
      <c r="AF22" s="30">
        <v>14.605461221458972</v>
      </c>
      <c r="AG22" s="30">
        <v>15.115868053804906</v>
      </c>
      <c r="AH22"/>
      <c r="AI22" s="20">
        <v>-1.640865156938605</v>
      </c>
      <c r="AJ22" s="20">
        <v>-1.6633987429129531</v>
      </c>
      <c r="AK22" s="20">
        <v>0.5558355178441543</v>
      </c>
      <c r="AL22" s="20">
        <v>-11.22174871048944</v>
      </c>
      <c r="AM22" s="20">
        <v>2.7737266154634748</v>
      </c>
      <c r="AN22" s="20">
        <v>4.3479851199446387</v>
      </c>
      <c r="AO22" s="20">
        <v>2.3815970313919985</v>
      </c>
      <c r="AP22" s="20">
        <v>-8.436103774378017</v>
      </c>
      <c r="AQ22" s="20">
        <v>2.6865900755395349</v>
      </c>
      <c r="AR22" s="20">
        <v>3.7388024485453433</v>
      </c>
      <c r="AS22" s="20">
        <v>4.6436546650547346</v>
      </c>
      <c r="AT22" s="20">
        <v>-0.52563282648396092</v>
      </c>
      <c r="AU22" s="20">
        <v>-8.4353403757992282</v>
      </c>
      <c r="AV22" s="20">
        <v>-1.336640080201138</v>
      </c>
      <c r="AW22" s="20">
        <v>8.7930881181390514</v>
      </c>
      <c r="AX22" s="20">
        <v>1.7832529074539494</v>
      </c>
      <c r="AY22" s="20">
        <v>5.5663707116113859</v>
      </c>
      <c r="AZ22" s="20">
        <v>1.9506962134780719</v>
      </c>
      <c r="BA22" s="20">
        <v>1.6613258319132258</v>
      </c>
      <c r="BB22" s="20">
        <v>-7.0144009669818415</v>
      </c>
      <c r="BC22" s="20">
        <v>1.8624077513569344</v>
      </c>
      <c r="BD22" s="20">
        <v>1.8887081850347236</v>
      </c>
      <c r="BE22" s="20">
        <v>1.0385328772415439</v>
      </c>
      <c r="BF22" s="20">
        <v>0.69483875643173032</v>
      </c>
      <c r="BG22" s="20">
        <v>0.11101627064421433</v>
      </c>
      <c r="BH22" s="20">
        <v>5.32272452102315</v>
      </c>
      <c r="BI22" s="20">
        <v>3.7343789193248571</v>
      </c>
      <c r="BJ22" s="20">
        <v>0.6056385858900919</v>
      </c>
      <c r="BK22" s="20">
        <v>4.1051878640782187</v>
      </c>
      <c r="BL22" s="20">
        <v>3.494630019598576</v>
      </c>
      <c r="BM22"/>
      <c r="BN22" s="26"/>
      <c r="BO22" s="26"/>
      <c r="BP22" s="26"/>
      <c r="BQ22" s="26"/>
      <c r="BR22" s="26"/>
      <c r="BS22" s="26"/>
    </row>
    <row r="23" spans="1:74" s="15" customFormat="1">
      <c r="A23"/>
      <c r="B23" s="17" t="s">
        <v>32</v>
      </c>
      <c r="C23" s="29">
        <v>12.787512268277496</v>
      </c>
      <c r="D23" s="29">
        <v>12.811856102620704</v>
      </c>
      <c r="E23" s="29">
        <v>12.562444105375391</v>
      </c>
      <c r="F23" s="29">
        <v>12.830104990311863</v>
      </c>
      <c r="G23" s="29">
        <v>11.712700211028196</v>
      </c>
      <c r="H23" s="29">
        <v>11.888553655181585</v>
      </c>
      <c r="I23" s="29">
        <v>12.25186292977744</v>
      </c>
      <c r="J23" s="29">
        <v>12.511140302955143</v>
      </c>
      <c r="K23" s="29">
        <v>11.777614840597975</v>
      </c>
      <c r="L23" s="29">
        <v>11.815900087296511</v>
      </c>
      <c r="M23" s="29">
        <v>11.941604711215771</v>
      </c>
      <c r="N23" s="29">
        <v>11.959520692014733</v>
      </c>
      <c r="O23" s="29">
        <v>12.509442740519205</v>
      </c>
      <c r="P23" s="29">
        <v>12.18312694774845</v>
      </c>
      <c r="Q23" s="29">
        <v>12.035914341361252</v>
      </c>
      <c r="R23" s="29">
        <v>12.773136783680918</v>
      </c>
      <c r="S23" s="29">
        <v>12.823457870539944</v>
      </c>
      <c r="T23" s="29">
        <v>13.3825527130113</v>
      </c>
      <c r="U23" s="29">
        <v>13.567980102792385</v>
      </c>
      <c r="V23" s="29">
        <v>13.62940696558819</v>
      </c>
      <c r="W23" s="29">
        <v>12.750004842888133</v>
      </c>
      <c r="X23" s="29">
        <v>12.589704056602931</v>
      </c>
      <c r="Y23" s="29">
        <v>12.616249077933654</v>
      </c>
      <c r="Z23" s="29">
        <v>12.619674804183299</v>
      </c>
      <c r="AA23" s="29">
        <v>12.654718086946531</v>
      </c>
      <c r="AB23" s="29">
        <v>12.661791011244835</v>
      </c>
      <c r="AC23" s="29">
        <v>12.805580302533329</v>
      </c>
      <c r="AD23" s="29">
        <v>13.414300876570339</v>
      </c>
      <c r="AE23" s="29">
        <v>13.746134832052748</v>
      </c>
      <c r="AF23" s="28">
        <v>13.942392176522736</v>
      </c>
      <c r="AG23" s="28">
        <v>14.101195195333103</v>
      </c>
      <c r="AH23"/>
      <c r="AI23" s="12">
        <v>0.19037193343382827</v>
      </c>
      <c r="AJ23" s="12">
        <v>-1.9467280560097331</v>
      </c>
      <c r="AK23" s="12">
        <v>2.130643389863454</v>
      </c>
      <c r="AL23" s="12">
        <v>-8.7092411178819713</v>
      </c>
      <c r="AM23" s="12">
        <v>1.5013911479422424</v>
      </c>
      <c r="AN23" s="12">
        <v>3.0559585727024707</v>
      </c>
      <c r="AO23" s="12">
        <v>2.1162281578219782</v>
      </c>
      <c r="AP23" s="12">
        <v>-5.8629784703470111</v>
      </c>
      <c r="AQ23" s="12">
        <v>0.32506791244832112</v>
      </c>
      <c r="AR23" s="12">
        <v>1.0638599090255292</v>
      </c>
      <c r="AS23" s="12">
        <v>0.15002992673284005</v>
      </c>
      <c r="AT23" s="12">
        <v>4.5981947158772858</v>
      </c>
      <c r="AU23" s="12">
        <v>-2.6085557889304605</v>
      </c>
      <c r="AV23" s="12">
        <v>-1.2083318758687325</v>
      </c>
      <c r="AW23" s="12">
        <v>6.1251885100761445</v>
      </c>
      <c r="AX23" s="12">
        <v>0.39396029112688941</v>
      </c>
      <c r="AY23" s="12">
        <v>4.3599382328521301</v>
      </c>
      <c r="AZ23" s="12">
        <v>1.3855905801947723</v>
      </c>
      <c r="BA23" s="12">
        <v>0.45273402769188448</v>
      </c>
      <c r="BB23" s="12">
        <v>-6.4522405481059426</v>
      </c>
      <c r="BC23" s="12">
        <v>-1.2572605913527666</v>
      </c>
      <c r="BD23" s="12">
        <v>0.21084706369090919</v>
      </c>
      <c r="BE23" s="12">
        <v>2.7153286436275743E-2</v>
      </c>
      <c r="BF23" s="12">
        <v>0.27768768456390752</v>
      </c>
      <c r="BG23" s="12">
        <v>5.5891599083509581E-2</v>
      </c>
      <c r="BH23" s="12">
        <v>1.13561573683214</v>
      </c>
      <c r="BI23" s="12">
        <v>4.7535571185054897</v>
      </c>
      <c r="BJ23" s="12">
        <v>2.4737327612950479</v>
      </c>
      <c r="BK23" s="12">
        <v>1.4277274802540265</v>
      </c>
      <c r="BL23" s="12">
        <v>1.13899406070195</v>
      </c>
      <c r="BM23"/>
      <c r="BN23" s="26"/>
      <c r="BO23" s="26"/>
      <c r="BP23" s="26"/>
      <c r="BQ23" s="26"/>
      <c r="BR23" s="26"/>
      <c r="BS23" s="26"/>
    </row>
    <row r="24" spans="1:74" s="15" customFormat="1" ht="6.75" customHeight="1">
      <c r="A24"/>
      <c r="B24" s="2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/>
      <c r="BN24" s="2"/>
    </row>
    <row r="25" spans="1:74" s="15" customFormat="1">
      <c r="A25"/>
      <c r="B25" s="22" t="s">
        <v>31</v>
      </c>
      <c r="C25" s="21">
        <v>29873.351999999999</v>
      </c>
      <c r="D25" s="21">
        <v>30907.713999999993</v>
      </c>
      <c r="E25" s="21">
        <v>31579.455000000002</v>
      </c>
      <c r="F25" s="21">
        <v>34038.256999999998</v>
      </c>
      <c r="G25" s="21">
        <v>32652.635999999999</v>
      </c>
      <c r="H25" s="21">
        <v>36464.643000000004</v>
      </c>
      <c r="I25" s="21">
        <v>41147.043999999994</v>
      </c>
      <c r="J25" s="21">
        <v>44517.77</v>
      </c>
      <c r="K25" s="21">
        <v>44012.855999999992</v>
      </c>
      <c r="L25" s="21">
        <v>48302.629000000008</v>
      </c>
      <c r="M25" s="21">
        <v>54797.719000000005</v>
      </c>
      <c r="N25" s="21">
        <v>64637.684999999998</v>
      </c>
      <c r="O25" s="21">
        <v>67905.451000000001</v>
      </c>
      <c r="P25" s="21">
        <v>64812.758999999998</v>
      </c>
      <c r="Q25" s="21">
        <v>62831.907000000007</v>
      </c>
      <c r="R25" s="21">
        <v>66910.728000000003</v>
      </c>
      <c r="S25" s="21">
        <v>68384.084000000003</v>
      </c>
      <c r="T25" s="21">
        <v>69038.404999999999</v>
      </c>
      <c r="U25" s="21">
        <v>69443.792000000016</v>
      </c>
      <c r="V25" s="21">
        <v>70794.643000000011</v>
      </c>
      <c r="W25" s="21">
        <v>68070.298999999999</v>
      </c>
      <c r="X25" s="21">
        <v>71723.283377882282</v>
      </c>
      <c r="Y25" s="21">
        <v>76153.37000000001</v>
      </c>
      <c r="Z25" s="21">
        <v>81962.981</v>
      </c>
      <c r="AA25" s="21">
        <v>86393.605999999985</v>
      </c>
      <c r="AB25" s="21">
        <v>86188.2</v>
      </c>
      <c r="AC25" s="21">
        <v>96423.198999999993</v>
      </c>
      <c r="AD25" s="21">
        <v>107925.802</v>
      </c>
      <c r="AE25" s="21">
        <v>116661.71199999996</v>
      </c>
      <c r="AF25" s="27">
        <v>132293.21899999998</v>
      </c>
      <c r="AG25" s="27">
        <v>146734.03000000003</v>
      </c>
      <c r="AH25"/>
      <c r="AI25" s="20">
        <v>3.4624905835809581</v>
      </c>
      <c r="AJ25" s="20">
        <v>2.1733765234142171</v>
      </c>
      <c r="AK25" s="20">
        <v>7.7860811720784788</v>
      </c>
      <c r="AL25" s="20">
        <v>-4.0707754219024768</v>
      </c>
      <c r="AM25" s="20">
        <v>11.674423467679624</v>
      </c>
      <c r="AN25" s="20">
        <v>12.840934710371332</v>
      </c>
      <c r="AO25" s="20">
        <v>8.1919031656320254</v>
      </c>
      <c r="AP25" s="20">
        <v>-1.1341852927493994</v>
      </c>
      <c r="AQ25" s="20">
        <v>9.7466363009935471</v>
      </c>
      <c r="AR25" s="20">
        <v>13.446659394046637</v>
      </c>
      <c r="AS25" s="20">
        <v>17.956889774919265</v>
      </c>
      <c r="AT25" s="20">
        <v>5.0555121211411009</v>
      </c>
      <c r="AU25" s="20">
        <v>-4.5544090414773963</v>
      </c>
      <c r="AV25" s="20">
        <v>-3.0562685967434153</v>
      </c>
      <c r="AW25" s="20">
        <v>6.4916396696347221</v>
      </c>
      <c r="AX25" s="20">
        <v>2.2019727539057707</v>
      </c>
      <c r="AY25" s="20">
        <v>0.95683229448536045</v>
      </c>
      <c r="AZ25" s="20">
        <v>0.58719056444020834</v>
      </c>
      <c r="BA25" s="20">
        <v>1.9452437159537526</v>
      </c>
      <c r="BB25" s="20">
        <v>-3.8482346750445671</v>
      </c>
      <c r="BC25" s="20">
        <v>5.3664879272563253</v>
      </c>
      <c r="BD25" s="20">
        <v>6.1766366700995992</v>
      </c>
      <c r="BE25" s="20">
        <v>7.6288298206632073</v>
      </c>
      <c r="BF25" s="20">
        <v>5.4056416030061003</v>
      </c>
      <c r="BG25" s="20">
        <v>-0.23775602097218648</v>
      </c>
      <c r="BH25" s="20">
        <v>11.875174327808212</v>
      </c>
      <c r="BI25" s="20">
        <v>11.929289962677968</v>
      </c>
      <c r="BJ25" s="20">
        <v>8.0943665352609209</v>
      </c>
      <c r="BK25" s="20">
        <v>13.399003607970396</v>
      </c>
      <c r="BL25" s="20">
        <v>10.915760542496171</v>
      </c>
      <c r="BM25"/>
      <c r="BN25" s="2"/>
      <c r="BS25" s="19"/>
    </row>
    <row r="26" spans="1:74" s="15" customFormat="1">
      <c r="A26"/>
      <c r="B26" s="18" t="s">
        <v>30</v>
      </c>
      <c r="C26" s="16">
        <v>30995.179</v>
      </c>
      <c r="D26" s="16">
        <v>32665.428999999993</v>
      </c>
      <c r="E26" s="16">
        <v>33279.21</v>
      </c>
      <c r="F26" s="16">
        <v>36432.123</v>
      </c>
      <c r="G26" s="16">
        <v>35938.144</v>
      </c>
      <c r="H26" s="16">
        <v>39636.860999999997</v>
      </c>
      <c r="I26" s="16">
        <v>44172.804000000004</v>
      </c>
      <c r="J26" s="16">
        <v>47667.523999999998</v>
      </c>
      <c r="K26" s="16">
        <v>48451.243999999999</v>
      </c>
      <c r="L26" s="16">
        <v>51950.757000000012</v>
      </c>
      <c r="M26" s="16">
        <v>57416.702000000012</v>
      </c>
      <c r="N26" s="16">
        <v>64818.614000000001</v>
      </c>
      <c r="O26" s="16">
        <v>71603.061000000002</v>
      </c>
      <c r="P26" s="16">
        <v>72690.955999999991</v>
      </c>
      <c r="Q26" s="16">
        <v>70560.968000000008</v>
      </c>
      <c r="R26" s="16">
        <v>73298.858999999997</v>
      </c>
      <c r="S26" s="16">
        <v>73890.354999999996</v>
      </c>
      <c r="T26" s="16">
        <v>73744.849000000002</v>
      </c>
      <c r="U26" s="16">
        <v>73766.709000000003</v>
      </c>
      <c r="V26" s="16">
        <v>74307.623000000007</v>
      </c>
      <c r="W26" s="16">
        <v>71880.042999999991</v>
      </c>
      <c r="X26" s="16">
        <v>73417.918377882277</v>
      </c>
      <c r="Y26" s="16">
        <v>76668.984000000011</v>
      </c>
      <c r="Z26" s="16">
        <v>81691.939000000013</v>
      </c>
      <c r="AA26" s="16">
        <v>85751.190999999992</v>
      </c>
      <c r="AB26" s="16">
        <v>85500.207000000009</v>
      </c>
      <c r="AC26" s="16">
        <v>91850.796999999991</v>
      </c>
      <c r="AD26" s="16">
        <v>103818.02100000001</v>
      </c>
      <c r="AE26" s="16">
        <v>114305.21399999999</v>
      </c>
      <c r="AF26" s="25">
        <v>126287.27800000001</v>
      </c>
      <c r="AG26" s="25">
        <v>136884.31200000001</v>
      </c>
      <c r="AH26"/>
      <c r="AI26" s="12">
        <v>5.3887412619878488</v>
      </c>
      <c r="AJ26" s="12">
        <v>1.8789926193836501</v>
      </c>
      <c r="AK26" s="12">
        <v>9.4741221321059026</v>
      </c>
      <c r="AL26" s="12">
        <v>-1.3558885931517066</v>
      </c>
      <c r="AM26" s="12">
        <v>10.291897656150516</v>
      </c>
      <c r="AN26" s="12">
        <v>11.443749291852367</v>
      </c>
      <c r="AO26" s="12">
        <v>7.911474218390107</v>
      </c>
      <c r="AP26" s="12">
        <v>1.6441382606740833</v>
      </c>
      <c r="AQ26" s="12">
        <v>7.222751597461591</v>
      </c>
      <c r="AR26" s="12">
        <v>10.521396252224003</v>
      </c>
      <c r="AS26" s="12">
        <v>12.891565941910052</v>
      </c>
      <c r="AT26" s="12">
        <v>10.466818991223724</v>
      </c>
      <c r="AU26" s="12">
        <v>1.519341470611137</v>
      </c>
      <c r="AV26" s="12">
        <v>-2.9301967083772889</v>
      </c>
      <c r="AW26" s="12">
        <v>3.8801777776064359</v>
      </c>
      <c r="AX26" s="12">
        <v>0.80696481237177131</v>
      </c>
      <c r="AY26" s="12">
        <v>-0.19692150619657187</v>
      </c>
      <c r="AZ26" s="12">
        <v>2.9642748336226956E-2</v>
      </c>
      <c r="BA26" s="12">
        <v>0.73327657873418794</v>
      </c>
      <c r="BB26" s="12">
        <v>-3.266932653733273</v>
      </c>
      <c r="BC26" s="12">
        <v>2.1395025847192199</v>
      </c>
      <c r="BD26" s="12">
        <v>4.4281637152724604</v>
      </c>
      <c r="BE26" s="12">
        <v>6.5514824091056179</v>
      </c>
      <c r="BF26" s="12">
        <v>4.9689749682645896</v>
      </c>
      <c r="BG26" s="12">
        <v>-0.29268864615534285</v>
      </c>
      <c r="BH26" s="12">
        <v>7.4275726607304948</v>
      </c>
      <c r="BI26" s="12">
        <v>13.028982209049333</v>
      </c>
      <c r="BJ26" s="12">
        <v>10.101515034658561</v>
      </c>
      <c r="BK26" s="12">
        <v>10.482517446666968</v>
      </c>
      <c r="BL26" s="12">
        <v>8.3912126128809259</v>
      </c>
      <c r="BM26"/>
      <c r="BN26" s="2"/>
      <c r="BV26" s="26"/>
    </row>
    <row r="27" spans="1:74" s="15" customFormat="1">
      <c r="A27"/>
      <c r="B27" s="17" t="s">
        <v>29</v>
      </c>
      <c r="C27" s="16">
        <v>22727.659000000003</v>
      </c>
      <c r="D27" s="16">
        <v>24536.124000000003</v>
      </c>
      <c r="E27" s="16">
        <v>25829.882999999998</v>
      </c>
      <c r="F27" s="16">
        <v>28141.447999999997</v>
      </c>
      <c r="G27" s="16">
        <v>26930.869999999995</v>
      </c>
      <c r="H27" s="16">
        <v>30515.989000000005</v>
      </c>
      <c r="I27" s="16">
        <v>34803.331999999995</v>
      </c>
      <c r="J27" s="16">
        <v>38129.036</v>
      </c>
      <c r="K27" s="16">
        <v>39161.777000000002</v>
      </c>
      <c r="L27" s="16">
        <v>42895.294000000002</v>
      </c>
      <c r="M27" s="16">
        <v>47749.956999999995</v>
      </c>
      <c r="N27" s="16">
        <v>53788.188999999991</v>
      </c>
      <c r="O27" s="16">
        <v>58137.934000000008</v>
      </c>
      <c r="P27" s="16">
        <v>58588.568999999996</v>
      </c>
      <c r="Q27" s="16">
        <v>57777.517000000007</v>
      </c>
      <c r="R27" s="16">
        <v>61504.294000000002</v>
      </c>
      <c r="S27" s="16">
        <v>61849.241999999998</v>
      </c>
      <c r="T27" s="16">
        <v>61494.434999999998</v>
      </c>
      <c r="U27" s="16">
        <v>61254.194000000003</v>
      </c>
      <c r="V27" s="16">
        <v>62007.761999999995</v>
      </c>
      <c r="W27" s="16">
        <v>60312.877</v>
      </c>
      <c r="X27" s="16">
        <v>62217.282999999996</v>
      </c>
      <c r="Y27" s="16">
        <v>65021.616999999998</v>
      </c>
      <c r="Z27" s="16">
        <v>69330.834999999992</v>
      </c>
      <c r="AA27" s="16">
        <v>72839.175000000003</v>
      </c>
      <c r="AB27" s="16">
        <v>74114.655999999988</v>
      </c>
      <c r="AC27" s="16">
        <v>79247.318999999989</v>
      </c>
      <c r="AD27" s="16">
        <v>89451.07</v>
      </c>
      <c r="AE27" s="16">
        <v>98862.189000000013</v>
      </c>
      <c r="AF27" s="25">
        <v>108249.442</v>
      </c>
      <c r="AG27" s="25">
        <v>117777.87099999998</v>
      </c>
      <c r="AH27"/>
      <c r="AI27" s="12">
        <v>7.9571107609455058</v>
      </c>
      <c r="AJ27" s="12">
        <v>5.2728743953201178</v>
      </c>
      <c r="AK27" s="12">
        <v>8.9491888135923769</v>
      </c>
      <c r="AL27" s="12">
        <v>-4.3017615866816854</v>
      </c>
      <c r="AM27" s="12">
        <v>13.312302944539148</v>
      </c>
      <c r="AN27" s="12">
        <v>14.049497134108908</v>
      </c>
      <c r="AO27" s="12">
        <v>9.5557057582877558</v>
      </c>
      <c r="AP27" s="12">
        <v>2.7085421199738744</v>
      </c>
      <c r="AQ27" s="12">
        <v>9.5335740255096173</v>
      </c>
      <c r="AR27" s="12">
        <v>11.317472261642486</v>
      </c>
      <c r="AS27" s="12">
        <v>12.645523429476588</v>
      </c>
      <c r="AT27" s="12">
        <v>8.0868032199411246</v>
      </c>
      <c r="AU27" s="12">
        <v>0.775113542906405</v>
      </c>
      <c r="AV27" s="12">
        <v>-1.3843178180371478</v>
      </c>
      <c r="AW27" s="12">
        <v>6.450220074358672</v>
      </c>
      <c r="AX27" s="12">
        <v>0.56085189759270571</v>
      </c>
      <c r="AY27" s="12">
        <v>-0.57366426576416363</v>
      </c>
      <c r="AZ27" s="12">
        <v>-0.39067112333009407</v>
      </c>
      <c r="BA27" s="12">
        <v>1.2302308638654065</v>
      </c>
      <c r="BB27" s="12">
        <v>-2.7333432869259093</v>
      </c>
      <c r="BC27" s="12">
        <v>3.1575446152237032</v>
      </c>
      <c r="BD27" s="12">
        <v>4.5073231500642716</v>
      </c>
      <c r="BE27" s="12">
        <v>6.6273620971314715</v>
      </c>
      <c r="BF27" s="12">
        <v>5.0602881099008998</v>
      </c>
      <c r="BG27" s="12">
        <v>1.7510920462786477</v>
      </c>
      <c r="BH27" s="12">
        <v>6.92530098230504</v>
      </c>
      <c r="BI27" s="12">
        <v>12.875831168496715</v>
      </c>
      <c r="BJ27" s="12">
        <v>10.520968614461522</v>
      </c>
      <c r="BK27" s="12">
        <v>9.4952914708372287</v>
      </c>
      <c r="BL27" s="12">
        <v>8.8022892533709225</v>
      </c>
      <c r="BM27"/>
      <c r="BN27" s="2"/>
    </row>
    <row r="28" spans="1:74" s="15" customFormat="1">
      <c r="A28"/>
      <c r="B28" s="17" t="s">
        <v>28</v>
      </c>
      <c r="C28" s="16">
        <v>4153.5029999999997</v>
      </c>
      <c r="D28" s="16">
        <v>3955.7660000000005</v>
      </c>
      <c r="E28" s="16">
        <v>3105.2279999999996</v>
      </c>
      <c r="F28" s="16">
        <v>3300.2529999999997</v>
      </c>
      <c r="G28" s="16">
        <v>3723.4289999999996</v>
      </c>
      <c r="H28" s="16">
        <v>3709.8040000000001</v>
      </c>
      <c r="I28" s="16">
        <v>3641.3679999999995</v>
      </c>
      <c r="J28" s="16">
        <v>3539.8090000000007</v>
      </c>
      <c r="K28" s="16">
        <v>2989.759</v>
      </c>
      <c r="L28" s="16">
        <v>2931.5860000000002</v>
      </c>
      <c r="M28" s="16">
        <v>3165.7030000000004</v>
      </c>
      <c r="N28" s="16">
        <v>4070.6579999999994</v>
      </c>
      <c r="O28" s="16">
        <v>6066.6060000000007</v>
      </c>
      <c r="P28" s="16">
        <v>7483.277</v>
      </c>
      <c r="Q28" s="16">
        <v>6861.2270000000008</v>
      </c>
      <c r="R28" s="16">
        <v>5812.1939999999995</v>
      </c>
      <c r="S28" s="16">
        <v>6346.6970000000001</v>
      </c>
      <c r="T28" s="16">
        <v>6447.4830000000011</v>
      </c>
      <c r="U28" s="16">
        <v>5912.0850000000009</v>
      </c>
      <c r="V28" s="16">
        <v>5245.0339999999997</v>
      </c>
      <c r="W28" s="16">
        <v>4627.5910000000003</v>
      </c>
      <c r="X28" s="16">
        <v>4304.3279999999995</v>
      </c>
      <c r="Y28" s="16">
        <v>4303.2259999999997</v>
      </c>
      <c r="Z28" s="16">
        <v>4652.0069999999996</v>
      </c>
      <c r="AA28" s="16">
        <v>4955.5129999999999</v>
      </c>
      <c r="AB28" s="16">
        <v>4134.37</v>
      </c>
      <c r="AC28" s="16">
        <v>4082.1240000000003</v>
      </c>
      <c r="AD28" s="16">
        <v>4852.2970000000005</v>
      </c>
      <c r="AE28" s="16">
        <v>5428.3870000000006</v>
      </c>
      <c r="AF28" s="25">
        <v>7294.1550000000007</v>
      </c>
      <c r="AG28" s="25">
        <v>7466.6210000000001</v>
      </c>
      <c r="AH28"/>
      <c r="AI28" s="12">
        <v>-4.7607284742541216</v>
      </c>
      <c r="AJ28" s="12">
        <v>-21.501221255251217</v>
      </c>
      <c r="AK28" s="12">
        <v>6.2805372101501113</v>
      </c>
      <c r="AL28" s="12">
        <v>12.822532090721529</v>
      </c>
      <c r="AM28" s="12">
        <v>-0.36592613958798587</v>
      </c>
      <c r="AN28" s="12">
        <v>-1.8447335762212937</v>
      </c>
      <c r="AO28" s="12">
        <v>-2.7890342310911405</v>
      </c>
      <c r="AP28" s="12">
        <v>-15.538973995489602</v>
      </c>
      <c r="AQ28" s="12">
        <v>-1.945742114999897</v>
      </c>
      <c r="AR28" s="12">
        <v>7.9860184896503181</v>
      </c>
      <c r="AS28" s="12">
        <v>28.586225555587458</v>
      </c>
      <c r="AT28" s="12">
        <v>49.032564268479483</v>
      </c>
      <c r="AU28" s="12">
        <v>23.351953299752765</v>
      </c>
      <c r="AV28" s="12">
        <v>-8.3125347357848618</v>
      </c>
      <c r="AW28" s="12">
        <v>-15.289291550913578</v>
      </c>
      <c r="AX28" s="12">
        <v>9.1962346748921426</v>
      </c>
      <c r="AY28" s="12">
        <v>1.5880071161424749</v>
      </c>
      <c r="AZ28" s="12">
        <v>-8.3039846712275178</v>
      </c>
      <c r="BA28" s="12">
        <v>-11.282838457160226</v>
      </c>
      <c r="BB28" s="12">
        <v>-11.771954195149151</v>
      </c>
      <c r="BC28" s="12">
        <v>-6.9855568480447126</v>
      </c>
      <c r="BD28" s="12">
        <v>-2.5602138127016852E-2</v>
      </c>
      <c r="BE28" s="12">
        <v>8.1051053326039568</v>
      </c>
      <c r="BF28" s="12">
        <v>6.5241948260181113</v>
      </c>
      <c r="BG28" s="12">
        <v>-16.570292520673441</v>
      </c>
      <c r="BH28" s="12">
        <v>-1.2636991851237225</v>
      </c>
      <c r="BI28" s="12">
        <v>18.866967294477092</v>
      </c>
      <c r="BJ28" s="12">
        <v>11.8725214058414</v>
      </c>
      <c r="BK28" s="12">
        <v>34.370578221486412</v>
      </c>
      <c r="BL28" s="12">
        <v>2.3644411175797528</v>
      </c>
      <c r="BM28"/>
      <c r="BN28" s="2"/>
    </row>
    <row r="29" spans="1:74" s="15" customFormat="1">
      <c r="A29"/>
      <c r="B29" s="17" t="s">
        <v>27</v>
      </c>
      <c r="C29" s="16">
        <v>4153.5029999999997</v>
      </c>
      <c r="D29" s="16">
        <v>3955.7660000000005</v>
      </c>
      <c r="E29" s="16">
        <v>3105.2279999999996</v>
      </c>
      <c r="F29" s="16">
        <v>2723.7910000000002</v>
      </c>
      <c r="G29" s="16">
        <v>2043.5840000000003</v>
      </c>
      <c r="H29" s="16">
        <v>1852.2709999999997</v>
      </c>
      <c r="I29" s="16">
        <v>2227.9279999999999</v>
      </c>
      <c r="J29" s="16">
        <v>2154.5</v>
      </c>
      <c r="K29" s="16">
        <v>1774.3160000000003</v>
      </c>
      <c r="L29" s="16">
        <v>1662.9730000000002</v>
      </c>
      <c r="M29" s="16">
        <v>1780.8979999999999</v>
      </c>
      <c r="N29" s="16">
        <v>2337.5450000000001</v>
      </c>
      <c r="O29" s="16">
        <v>3815.8820000000005</v>
      </c>
      <c r="P29" s="16">
        <v>4952.8209999999999</v>
      </c>
      <c r="Q29" s="16">
        <v>4893.2730000000001</v>
      </c>
      <c r="R29" s="16">
        <v>3957.223</v>
      </c>
      <c r="S29" s="16">
        <v>4590.3020000000006</v>
      </c>
      <c r="T29" s="16">
        <v>4639.9810000000007</v>
      </c>
      <c r="U29" s="16">
        <v>4281.6219999999994</v>
      </c>
      <c r="V29" s="16">
        <v>3602.625</v>
      </c>
      <c r="W29" s="16">
        <v>2971.9850000000001</v>
      </c>
      <c r="X29" s="16">
        <v>2786.6749999999997</v>
      </c>
      <c r="Y29" s="16">
        <v>2672.2840000000006</v>
      </c>
      <c r="Z29" s="16">
        <v>3027.7809999999999</v>
      </c>
      <c r="AA29" s="16">
        <v>3304.3980000000001</v>
      </c>
      <c r="AB29" s="16">
        <v>2629.1929999999998</v>
      </c>
      <c r="AC29" s="16">
        <v>2472.9749999999999</v>
      </c>
      <c r="AD29" s="16">
        <v>3175.9689999999996</v>
      </c>
      <c r="AE29" s="16">
        <v>3681.7810000000004</v>
      </c>
      <c r="AF29" s="25">
        <v>5261.860999999999</v>
      </c>
      <c r="AG29" s="25">
        <v>5368.8520000000008</v>
      </c>
      <c r="AH29"/>
      <c r="AI29" s="12">
        <v>-4.7607284742541216</v>
      </c>
      <c r="AJ29" s="12">
        <v>-21.501221255251217</v>
      </c>
      <c r="AK29" s="12">
        <v>-12.28370348328688</v>
      </c>
      <c r="AL29" s="12">
        <v>-24.972804447918353</v>
      </c>
      <c r="AM29" s="12">
        <v>-9.3616411167830886</v>
      </c>
      <c r="AN29" s="12">
        <v>20.280887623895218</v>
      </c>
      <c r="AO29" s="12">
        <v>-3.2957977098003117</v>
      </c>
      <c r="AP29" s="12">
        <v>-17.646043165467614</v>
      </c>
      <c r="AQ29" s="12">
        <v>-6.2752632563759807</v>
      </c>
      <c r="AR29" s="12">
        <v>7.0912155519061173</v>
      </c>
      <c r="AS29" s="12">
        <v>31.256534624666894</v>
      </c>
      <c r="AT29" s="12">
        <v>63.243146121251158</v>
      </c>
      <c r="AU29" s="12">
        <v>29.794920283174353</v>
      </c>
      <c r="AV29" s="12">
        <v>-1.2023047067519657</v>
      </c>
      <c r="AW29" s="12">
        <v>-19.129323052280142</v>
      </c>
      <c r="AX29" s="12">
        <v>15.998062277511291</v>
      </c>
      <c r="AY29" s="12">
        <v>1.0822599471668766</v>
      </c>
      <c r="AZ29" s="12">
        <v>-7.7232859358691597</v>
      </c>
      <c r="BA29" s="12">
        <v>-15.858405996605947</v>
      </c>
      <c r="BB29" s="12">
        <v>-17.505013705284338</v>
      </c>
      <c r="BC29" s="12">
        <v>-6.2352266246296795</v>
      </c>
      <c r="BD29" s="12">
        <v>-4.1049279158853897</v>
      </c>
      <c r="BE29" s="12">
        <v>13.303114489328204</v>
      </c>
      <c r="BF29" s="12">
        <v>9.1359645892487009</v>
      </c>
      <c r="BG29" s="12">
        <v>-20.433525259366469</v>
      </c>
      <c r="BH29" s="12">
        <v>-5.9416710754973048</v>
      </c>
      <c r="BI29" s="12">
        <v>28.427056480554786</v>
      </c>
      <c r="BJ29" s="12">
        <v>15.926225980165452</v>
      </c>
      <c r="BK29" s="12">
        <v>42.916186486920282</v>
      </c>
      <c r="BL29" s="12">
        <v>2.0333300328534301</v>
      </c>
      <c r="BM29"/>
      <c r="BN29" s="2"/>
      <c r="BO29" s="16"/>
      <c r="BP29" s="16"/>
      <c r="BQ29" s="16"/>
      <c r="BR29" s="19"/>
    </row>
    <row r="30" spans="1:74" s="15" customFormat="1">
      <c r="A30"/>
      <c r="B30" s="17" t="s">
        <v>26</v>
      </c>
      <c r="C30" s="16"/>
      <c r="D30" s="16"/>
      <c r="E30" s="16"/>
      <c r="F30" s="16">
        <v>576.46199999999999</v>
      </c>
      <c r="G30" s="16">
        <v>887.15000000000009</v>
      </c>
      <c r="H30" s="16">
        <v>893.14200000000005</v>
      </c>
      <c r="I30" s="16">
        <v>876.08799999999997</v>
      </c>
      <c r="J30" s="16">
        <v>934.73099999999999</v>
      </c>
      <c r="K30" s="16">
        <v>967.42399999999998</v>
      </c>
      <c r="L30" s="16">
        <v>1005.116</v>
      </c>
      <c r="M30" s="16">
        <v>1063.99</v>
      </c>
      <c r="N30" s="16">
        <v>1136.8319999999999</v>
      </c>
      <c r="O30" s="16">
        <v>1449.4469999999999</v>
      </c>
      <c r="P30" s="16">
        <v>1511.8180000000002</v>
      </c>
      <c r="Q30" s="16">
        <v>1434.0530000000001</v>
      </c>
      <c r="R30" s="16">
        <v>1450.1400000000003</v>
      </c>
      <c r="S30" s="16">
        <v>1404.1780000000003</v>
      </c>
      <c r="T30" s="16">
        <v>1450.421</v>
      </c>
      <c r="U30" s="16">
        <v>1337.078</v>
      </c>
      <c r="V30" s="16">
        <v>1300.3620000000001</v>
      </c>
      <c r="W30" s="16">
        <v>1226.0929999999998</v>
      </c>
      <c r="X30" s="16">
        <v>1205.653</v>
      </c>
      <c r="Y30" s="16">
        <v>1242.942</v>
      </c>
      <c r="Z30" s="16">
        <v>1280.6679999999999</v>
      </c>
      <c r="AA30" s="16">
        <v>1306.039</v>
      </c>
      <c r="AB30" s="16">
        <v>1117.597</v>
      </c>
      <c r="AC30" s="16">
        <v>1172.9199999999998</v>
      </c>
      <c r="AD30" s="16">
        <v>1296.8919999999998</v>
      </c>
      <c r="AE30" s="16">
        <v>1370.3830000000003</v>
      </c>
      <c r="AF30" s="25">
        <v>1437.7669999999998</v>
      </c>
      <c r="AG30" s="25">
        <v>1479.001</v>
      </c>
      <c r="AH30"/>
      <c r="AI30" s="12"/>
      <c r="AJ30" s="12"/>
      <c r="AK30" s="12"/>
      <c r="AL30" s="12">
        <v>53.895660078201182</v>
      </c>
      <c r="AM30" s="12">
        <v>0.67542129290423958</v>
      </c>
      <c r="AN30" s="12">
        <v>-1.9094388126412245</v>
      </c>
      <c r="AO30" s="12">
        <v>6.6937339627982615</v>
      </c>
      <c r="AP30" s="12">
        <v>3.4975837968356656</v>
      </c>
      <c r="AQ30" s="12">
        <v>3.8961200052924063</v>
      </c>
      <c r="AR30" s="12">
        <v>5.8574333708746078</v>
      </c>
      <c r="AS30" s="12">
        <v>6.8461169747835857</v>
      </c>
      <c r="AT30" s="12">
        <v>27.498786100320896</v>
      </c>
      <c r="AU30" s="12">
        <v>4.3030893851241423</v>
      </c>
      <c r="AV30" s="12">
        <v>-5.1438069926406547</v>
      </c>
      <c r="AW30" s="12">
        <v>1.1217855964877319</v>
      </c>
      <c r="AX30" s="12">
        <v>-3.1694870840056808</v>
      </c>
      <c r="AY30" s="12">
        <v>3.2932434491923175</v>
      </c>
      <c r="AZ30" s="12">
        <v>-7.8144897240180651</v>
      </c>
      <c r="BA30" s="12">
        <v>-2.7459878930024946</v>
      </c>
      <c r="BB30" s="12">
        <v>-5.7114095920982182</v>
      </c>
      <c r="BC30" s="12">
        <v>-1.6670839813945459</v>
      </c>
      <c r="BD30" s="12">
        <v>3.0928467809560449</v>
      </c>
      <c r="BE30" s="12">
        <v>3.0352180552270247</v>
      </c>
      <c r="BF30" s="12">
        <v>1.981075501222807</v>
      </c>
      <c r="BG30" s="12">
        <v>-14.428512471679637</v>
      </c>
      <c r="BH30" s="12">
        <v>4.9501743472825952</v>
      </c>
      <c r="BI30" s="12">
        <v>10.569518807761824</v>
      </c>
      <c r="BJ30" s="12">
        <v>5.6667016220317841</v>
      </c>
      <c r="BK30" s="12">
        <v>4.9171654931504216</v>
      </c>
      <c r="BL30" s="12">
        <v>2.8679194890410029</v>
      </c>
      <c r="BM30"/>
      <c r="BN30" s="2"/>
      <c r="BO30" s="16"/>
      <c r="BP30" s="16"/>
      <c r="BQ30" s="16"/>
      <c r="BR30" s="19"/>
    </row>
    <row r="31" spans="1:74" s="15" customFormat="1">
      <c r="A31"/>
      <c r="B31" s="17" t="s">
        <v>25</v>
      </c>
      <c r="C31" s="16"/>
      <c r="D31" s="16"/>
      <c r="E31" s="16"/>
      <c r="F31" s="16"/>
      <c r="G31" s="16">
        <v>792.69500000000005</v>
      </c>
      <c r="H31" s="16">
        <v>964.39100000000008</v>
      </c>
      <c r="I31" s="16">
        <v>537.35199999999986</v>
      </c>
      <c r="J31" s="16">
        <v>450.57799999999997</v>
      </c>
      <c r="K31" s="16">
        <v>248.01899999999998</v>
      </c>
      <c r="L31" s="16">
        <v>263.49700000000001</v>
      </c>
      <c r="M31" s="16">
        <v>320.815</v>
      </c>
      <c r="N31" s="16">
        <v>596.28100000000006</v>
      </c>
      <c r="O31" s="16">
        <v>801.27700000000004</v>
      </c>
      <c r="P31" s="16">
        <v>1018.638</v>
      </c>
      <c r="Q31" s="16">
        <v>533.90099999999995</v>
      </c>
      <c r="R31" s="16">
        <v>404.83099999999996</v>
      </c>
      <c r="S31" s="16">
        <v>352.21699999999998</v>
      </c>
      <c r="T31" s="16">
        <v>357.0809999999999</v>
      </c>
      <c r="U31" s="16">
        <v>293.38499999999999</v>
      </c>
      <c r="V31" s="16">
        <v>342.04700000000003</v>
      </c>
      <c r="W31" s="16">
        <v>429.51300000000003</v>
      </c>
      <c r="X31" s="16">
        <v>312</v>
      </c>
      <c r="Y31" s="16">
        <v>388</v>
      </c>
      <c r="Z31" s="16">
        <v>343.55799999999999</v>
      </c>
      <c r="AA31" s="16">
        <v>345.07600000000002</v>
      </c>
      <c r="AB31" s="16">
        <v>387.58</v>
      </c>
      <c r="AC31" s="16">
        <v>436.22899999999993</v>
      </c>
      <c r="AD31" s="16">
        <v>379.43599999999998</v>
      </c>
      <c r="AE31" s="16">
        <v>376.22300000000001</v>
      </c>
      <c r="AF31" s="25">
        <v>594.52700000000004</v>
      </c>
      <c r="AG31" s="25">
        <v>618.76800000000003</v>
      </c>
      <c r="AH31"/>
      <c r="AI31" s="12"/>
      <c r="AJ31" s="12"/>
      <c r="AK31" s="12"/>
      <c r="AL31" s="12"/>
      <c r="AM31" s="12">
        <v>21.659780874106687</v>
      </c>
      <c r="AN31" s="12">
        <v>-44.280691130464739</v>
      </c>
      <c r="AO31" s="12">
        <v>-16.148446455954367</v>
      </c>
      <c r="AP31" s="12">
        <v>-44.95536843787314</v>
      </c>
      <c r="AQ31" s="12">
        <v>6.2406509178732437</v>
      </c>
      <c r="AR31" s="12">
        <v>21.752809329897488</v>
      </c>
      <c r="AS31" s="12">
        <v>85.864439006904306</v>
      </c>
      <c r="AT31" s="12">
        <v>34.379093078598842</v>
      </c>
      <c r="AU31" s="12">
        <v>27.126823807497278</v>
      </c>
      <c r="AV31" s="12">
        <v>-47.586777638375956</v>
      </c>
      <c r="AW31" s="12">
        <v>-24.174893847361218</v>
      </c>
      <c r="AX31" s="12">
        <v>-12.996534356311642</v>
      </c>
      <c r="AY31" s="12">
        <v>1.3809668471425056</v>
      </c>
      <c r="AZ31" s="12">
        <v>-17.837969536323673</v>
      </c>
      <c r="BA31" s="12">
        <v>16.586396714215123</v>
      </c>
      <c r="BB31" s="12">
        <v>25.571339611223017</v>
      </c>
      <c r="BC31" s="12">
        <v>-27.359590978619977</v>
      </c>
      <c r="BD31" s="12">
        <v>24.358974358974358</v>
      </c>
      <c r="BE31" s="12">
        <v>-11.454123711340207</v>
      </c>
      <c r="BF31" s="12">
        <v>0.44184679151701578</v>
      </c>
      <c r="BG31" s="12">
        <v>12.317286626714102</v>
      </c>
      <c r="BH31" s="12">
        <v>12.551989266732015</v>
      </c>
      <c r="BI31" s="12">
        <v>-13.019079428465314</v>
      </c>
      <c r="BJ31" s="12">
        <v>-0.84678312020998681</v>
      </c>
      <c r="BK31" s="12">
        <v>58.025160609532115</v>
      </c>
      <c r="BL31" s="12">
        <v>4.077358976127238</v>
      </c>
      <c r="BM31"/>
      <c r="BN31" s="2"/>
      <c r="BO31" s="16"/>
      <c r="BP31" s="16"/>
      <c r="BQ31" s="16"/>
      <c r="BR31" s="19"/>
    </row>
    <row r="32" spans="1:74" s="15" customFormat="1">
      <c r="A32"/>
      <c r="B32" s="17" t="s">
        <v>24</v>
      </c>
      <c r="C32" s="16">
        <v>4056.5120000000002</v>
      </c>
      <c r="D32" s="16">
        <v>4098.8130000000001</v>
      </c>
      <c r="E32" s="16">
        <v>4261.6499999999996</v>
      </c>
      <c r="F32" s="16">
        <v>4834.7720000000008</v>
      </c>
      <c r="G32" s="16">
        <v>5027.3220000000001</v>
      </c>
      <c r="H32" s="16">
        <v>4990.6440000000002</v>
      </c>
      <c r="I32" s="16">
        <v>5219.8900000000003</v>
      </c>
      <c r="J32" s="16">
        <v>5461.45</v>
      </c>
      <c r="K32" s="16">
        <v>5429.2790000000005</v>
      </c>
      <c r="L32" s="16">
        <v>5769.8559999999998</v>
      </c>
      <c r="M32" s="16">
        <v>6109.1860000000006</v>
      </c>
      <c r="N32" s="16">
        <v>6507.6970000000001</v>
      </c>
      <c r="O32" s="16">
        <v>6854.0509999999995</v>
      </c>
      <c r="P32" s="16">
        <v>6053.6710000000003</v>
      </c>
      <c r="Q32" s="16">
        <v>5389.1530000000002</v>
      </c>
      <c r="R32" s="16">
        <v>5439.4390000000003</v>
      </c>
      <c r="S32" s="16">
        <v>5132.2479999999996</v>
      </c>
      <c r="T32" s="16">
        <v>5207.4050000000007</v>
      </c>
      <c r="U32" s="16">
        <v>5600.152</v>
      </c>
      <c r="V32" s="16">
        <v>5873.3580000000002</v>
      </c>
      <c r="W32" s="16">
        <v>5921.7309999999998</v>
      </c>
      <c r="X32" s="16">
        <v>5940.2993778822711</v>
      </c>
      <c r="Y32" s="16">
        <v>6386.1990000000005</v>
      </c>
      <c r="Z32" s="16">
        <v>6814.5420000000004</v>
      </c>
      <c r="AA32" s="16">
        <v>7080.4140000000007</v>
      </c>
      <c r="AB32" s="16">
        <v>6393.1080000000002</v>
      </c>
      <c r="AC32" s="16">
        <v>7639.4790000000012</v>
      </c>
      <c r="AD32" s="16">
        <v>8649.5119999999988</v>
      </c>
      <c r="AE32" s="16">
        <v>9098.371000000001</v>
      </c>
      <c r="AF32" s="25">
        <v>9878.5740000000005</v>
      </c>
      <c r="AG32" s="25">
        <v>10684.058000000001</v>
      </c>
      <c r="AH32"/>
      <c r="AI32" s="12">
        <v>1.042792428569173</v>
      </c>
      <c r="AJ32" s="12">
        <v>3.9727843158494798</v>
      </c>
      <c r="AK32" s="12">
        <v>13.448359203594881</v>
      </c>
      <c r="AL32" s="12">
        <v>3.9826076596786621</v>
      </c>
      <c r="AM32" s="12">
        <v>-0.72957331955263427</v>
      </c>
      <c r="AN32" s="12">
        <v>4.5935153859902664</v>
      </c>
      <c r="AO32" s="12">
        <v>4.6276837251359604</v>
      </c>
      <c r="AP32" s="12">
        <v>-0.58905601992143786</v>
      </c>
      <c r="AQ32" s="12">
        <v>6.2729692100921559</v>
      </c>
      <c r="AR32" s="12">
        <v>5.8810826474699001</v>
      </c>
      <c r="AS32" s="12">
        <v>6.5231439998716594</v>
      </c>
      <c r="AT32" s="12">
        <v>5.3222207487533506</v>
      </c>
      <c r="AU32" s="12">
        <v>-11.677473657549371</v>
      </c>
      <c r="AV32" s="12">
        <v>-10.977107939959076</v>
      </c>
      <c r="AW32" s="12">
        <v>0.93309653669138837</v>
      </c>
      <c r="AX32" s="12">
        <v>-5.6474757782925904</v>
      </c>
      <c r="AY32" s="12">
        <v>1.4644070200816692</v>
      </c>
      <c r="AZ32" s="12">
        <v>7.5420867015336688</v>
      </c>
      <c r="BA32" s="12">
        <v>4.8785461537472576</v>
      </c>
      <c r="BB32" s="12">
        <v>0.82360040031613246</v>
      </c>
      <c r="BC32" s="12">
        <v>0.31356334629640059</v>
      </c>
      <c r="BD32" s="12">
        <v>7.5063493226951401</v>
      </c>
      <c r="BE32" s="12">
        <v>6.7073230884286543</v>
      </c>
      <c r="BF32" s="12">
        <v>3.9015387974716464</v>
      </c>
      <c r="BG32" s="12">
        <v>-9.7071442432603572</v>
      </c>
      <c r="BH32" s="12">
        <v>19.495541135860694</v>
      </c>
      <c r="BI32" s="12">
        <v>13.221228829871741</v>
      </c>
      <c r="BJ32" s="12">
        <v>5.1894141542320797</v>
      </c>
      <c r="BK32" s="12">
        <v>8.5751943946888893</v>
      </c>
      <c r="BL32" s="12">
        <v>8.1538489259684681</v>
      </c>
      <c r="BM32"/>
      <c r="BN32" s="2"/>
      <c r="BO32" s="16"/>
      <c r="BP32" s="16"/>
      <c r="BQ32" s="16"/>
      <c r="BR32" s="19"/>
    </row>
    <row r="33" spans="1:71" s="15" customFormat="1">
      <c r="A33"/>
      <c r="B33" s="17" t="s">
        <v>23</v>
      </c>
      <c r="C33" s="16">
        <v>2521.2260000000001</v>
      </c>
      <c r="D33" s="16">
        <v>2466.866</v>
      </c>
      <c r="E33" s="16">
        <v>2477.7269999999999</v>
      </c>
      <c r="F33" s="16">
        <v>2465.3040000000001</v>
      </c>
      <c r="G33" s="16">
        <v>2379.1670000000004</v>
      </c>
      <c r="H33" s="16">
        <v>2425.7860000000001</v>
      </c>
      <c r="I33" s="16">
        <v>2500.9250000000002</v>
      </c>
      <c r="J33" s="16">
        <v>2607.0650000000001</v>
      </c>
      <c r="K33" s="16">
        <v>2793.44</v>
      </c>
      <c r="L33" s="16">
        <v>2917.2660000000001</v>
      </c>
      <c r="M33" s="16">
        <v>3048.8809999999999</v>
      </c>
      <c r="N33" s="16">
        <v>3219.0520000000006</v>
      </c>
      <c r="O33" s="16">
        <v>3269.049</v>
      </c>
      <c r="P33" s="16">
        <v>2554.5950000000003</v>
      </c>
      <c r="Q33" s="16">
        <v>2213.1480000000001</v>
      </c>
      <c r="R33" s="16">
        <v>2318.3620000000001</v>
      </c>
      <c r="S33" s="16">
        <v>2131.5529999999999</v>
      </c>
      <c r="T33" s="16">
        <v>1993.54</v>
      </c>
      <c r="U33" s="16">
        <v>1909.6030000000001</v>
      </c>
      <c r="V33" s="16">
        <v>2061.2619999999997</v>
      </c>
      <c r="W33" s="16">
        <v>2345.2240000000002</v>
      </c>
      <c r="X33" s="16">
        <v>2604.683</v>
      </c>
      <c r="Y33" s="16">
        <v>2805.4370000000004</v>
      </c>
      <c r="Z33" s="16">
        <v>3025.6180000000004</v>
      </c>
      <c r="AA33" s="16">
        <v>3219.9449999999997</v>
      </c>
      <c r="AB33" s="16">
        <v>2818.8419999999996</v>
      </c>
      <c r="AC33" s="16">
        <v>3527.2490000000003</v>
      </c>
      <c r="AD33" s="16">
        <v>4124.9870000000001</v>
      </c>
      <c r="AE33" s="16">
        <v>4427.2609999999995</v>
      </c>
      <c r="AF33" s="25">
        <v>4930.9740000000002</v>
      </c>
      <c r="AG33" s="25">
        <v>5444.17</v>
      </c>
      <c r="AH33"/>
      <c r="AI33" s="12">
        <v>-2.1560939003484862</v>
      </c>
      <c r="AJ33" s="12">
        <v>0.44027523181234313</v>
      </c>
      <c r="AK33" s="12">
        <v>-0.50138695667439448</v>
      </c>
      <c r="AL33" s="12">
        <v>-3.4939707232860417</v>
      </c>
      <c r="AM33" s="12">
        <v>1.9594673261691877</v>
      </c>
      <c r="AN33" s="12">
        <v>3.0975114869984459</v>
      </c>
      <c r="AO33" s="12">
        <v>4.2440297090076617</v>
      </c>
      <c r="AP33" s="12">
        <v>7.1488436230013441</v>
      </c>
      <c r="AQ33" s="12">
        <v>4.4327424251102592</v>
      </c>
      <c r="AR33" s="12">
        <v>4.5115872189920214</v>
      </c>
      <c r="AS33" s="12">
        <v>5.5814247915874944</v>
      </c>
      <c r="AT33" s="12">
        <v>1.5531591288366693</v>
      </c>
      <c r="AU33" s="12">
        <v>-21.855102202505979</v>
      </c>
      <c r="AV33" s="12">
        <v>-13.365993435358641</v>
      </c>
      <c r="AW33" s="12">
        <v>4.754042657788812</v>
      </c>
      <c r="AX33" s="12">
        <v>-8.0578011544357686</v>
      </c>
      <c r="AY33" s="12">
        <v>-6.4747627668652825</v>
      </c>
      <c r="AZ33" s="12">
        <v>-4.2104497527012201</v>
      </c>
      <c r="BA33" s="12">
        <v>7.941912533652264</v>
      </c>
      <c r="BB33" s="12">
        <v>13.77612355925644</v>
      </c>
      <c r="BC33" s="12">
        <v>11.0632928880141</v>
      </c>
      <c r="BD33" s="12">
        <v>7.7074254333444943</v>
      </c>
      <c r="BE33" s="12">
        <v>7.8483672953625421</v>
      </c>
      <c r="BF33" s="12">
        <v>6.422720911893018</v>
      </c>
      <c r="BG33" s="12">
        <v>-12.456827678733646</v>
      </c>
      <c r="BH33" s="12">
        <v>25.13113540950506</v>
      </c>
      <c r="BI33" s="12">
        <v>16.946294406774225</v>
      </c>
      <c r="BJ33" s="12">
        <v>7.3278776393719403</v>
      </c>
      <c r="BK33" s="12">
        <v>11.377531164302278</v>
      </c>
      <c r="BL33" s="12">
        <v>10.407598985514827</v>
      </c>
      <c r="BM33"/>
      <c r="BN33" s="2"/>
    </row>
    <row r="34" spans="1:71" s="15" customFormat="1">
      <c r="A34"/>
      <c r="B34" s="17" t="s">
        <v>22</v>
      </c>
      <c r="C34" s="16">
        <v>1535.2860000000001</v>
      </c>
      <c r="D34" s="16">
        <v>1631.9470000000001</v>
      </c>
      <c r="E34" s="16">
        <v>1783.923</v>
      </c>
      <c r="F34" s="16">
        <v>2369.4679999999998</v>
      </c>
      <c r="G34" s="16">
        <v>2648.1549999999997</v>
      </c>
      <c r="H34" s="16">
        <v>2564.8580000000002</v>
      </c>
      <c r="I34" s="16">
        <v>2718.9650000000006</v>
      </c>
      <c r="J34" s="16">
        <v>2854.3849999999998</v>
      </c>
      <c r="K34" s="16">
        <v>2635.8389999999999</v>
      </c>
      <c r="L34" s="16">
        <v>2852.59</v>
      </c>
      <c r="M34" s="16">
        <v>3060.3050000000003</v>
      </c>
      <c r="N34" s="16">
        <v>3288.645</v>
      </c>
      <c r="O34" s="16">
        <v>3585.002</v>
      </c>
      <c r="P34" s="16">
        <v>3499.0760000000005</v>
      </c>
      <c r="Q34" s="16">
        <v>3176.0049999999997</v>
      </c>
      <c r="R34" s="16">
        <v>3121.0770000000002</v>
      </c>
      <c r="S34" s="16">
        <v>3000.6950000000002</v>
      </c>
      <c r="T34" s="16">
        <v>3213.8650000000007</v>
      </c>
      <c r="U34" s="16">
        <v>3690.549</v>
      </c>
      <c r="V34" s="16">
        <v>3812.096</v>
      </c>
      <c r="W34" s="16">
        <v>3576.5070000000001</v>
      </c>
      <c r="X34" s="16">
        <v>3335.616377882272</v>
      </c>
      <c r="Y34" s="16">
        <v>3580.7619999999997</v>
      </c>
      <c r="Z34" s="16">
        <v>3788.924</v>
      </c>
      <c r="AA34" s="16">
        <v>3860.4690000000001</v>
      </c>
      <c r="AB34" s="16">
        <v>3574.2660000000005</v>
      </c>
      <c r="AC34" s="16">
        <v>4112.2300000000014</v>
      </c>
      <c r="AD34" s="16">
        <v>4524.5249999999996</v>
      </c>
      <c r="AE34" s="16">
        <v>4671.1099999999997</v>
      </c>
      <c r="AF34" s="25">
        <v>4947.6000000000004</v>
      </c>
      <c r="AG34" s="25">
        <v>5239.8880000000008</v>
      </c>
      <c r="AH34"/>
      <c r="AI34" s="12">
        <v>6.2959604920516474</v>
      </c>
      <c r="AJ34" s="12">
        <v>9.312557331825106</v>
      </c>
      <c r="AK34" s="12">
        <v>32.823445855006064</v>
      </c>
      <c r="AL34" s="12">
        <v>11.761585301004272</v>
      </c>
      <c r="AM34" s="12">
        <v>-3.1454729802447203</v>
      </c>
      <c r="AN34" s="12">
        <v>6.0084028043657938</v>
      </c>
      <c r="AO34" s="12">
        <v>4.9805716513452412</v>
      </c>
      <c r="AP34" s="12">
        <v>-7.6565004370468541</v>
      </c>
      <c r="AQ34" s="12">
        <v>8.2232260771617778</v>
      </c>
      <c r="AR34" s="12">
        <v>7.2816282746556684</v>
      </c>
      <c r="AS34" s="12">
        <v>7.4613478068362369</v>
      </c>
      <c r="AT34" s="12">
        <v>9.0115229828698435</v>
      </c>
      <c r="AU34" s="12">
        <v>-2.3968187465446178</v>
      </c>
      <c r="AV34" s="12">
        <v>-9.2330375219058052</v>
      </c>
      <c r="AW34" s="12">
        <v>-1.7294683100309802</v>
      </c>
      <c r="AX34" s="12">
        <v>-3.857066006381773</v>
      </c>
      <c r="AY34" s="12">
        <v>7.1040209018244269</v>
      </c>
      <c r="AZ34" s="12">
        <v>14.832110247319013</v>
      </c>
      <c r="BA34" s="12">
        <v>3.2934666359937244</v>
      </c>
      <c r="BB34" s="12">
        <v>-6.180038488012892</v>
      </c>
      <c r="BC34" s="12">
        <v>-6.7353600067811428</v>
      </c>
      <c r="BD34" s="12">
        <v>7.3493350057648614</v>
      </c>
      <c r="BE34" s="12">
        <v>5.8133436402642866</v>
      </c>
      <c r="BF34" s="12">
        <v>1.888266959168357</v>
      </c>
      <c r="BG34" s="12">
        <v>-7.4136847103292247</v>
      </c>
      <c r="BH34" s="12">
        <v>15.051034254305661</v>
      </c>
      <c r="BI34" s="12">
        <v>10.026068580794316</v>
      </c>
      <c r="BJ34" s="12">
        <v>3.2397876020134722</v>
      </c>
      <c r="BK34" s="12">
        <v>5.9191498380470744</v>
      </c>
      <c r="BL34" s="12">
        <v>5.9076724068235196</v>
      </c>
      <c r="BM34"/>
      <c r="BN34" s="2"/>
    </row>
    <row r="35" spans="1:71" s="15" customFormat="1">
      <c r="A35"/>
      <c r="B35" s="17" t="s">
        <v>11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383.56600000000003</v>
      </c>
      <c r="V35" s="16">
        <v>559.97800000000007</v>
      </c>
      <c r="W35" s="16">
        <v>443.87900000000002</v>
      </c>
      <c r="X35" s="16">
        <v>450.61999999999989</v>
      </c>
      <c r="Y35" s="16">
        <v>443.27700000000004</v>
      </c>
      <c r="Z35" s="16">
        <v>367.99100000000004</v>
      </c>
      <c r="AA35" s="16">
        <v>331.524</v>
      </c>
      <c r="AB35" s="16">
        <v>381.06000000000006</v>
      </c>
      <c r="AC35" s="16">
        <v>375.57500000000005</v>
      </c>
      <c r="AD35" s="16">
        <v>299.41399999999999</v>
      </c>
      <c r="AE35" s="16">
        <v>328.45100000000002</v>
      </c>
      <c r="AF35" s="25">
        <v>249.01900000000003</v>
      </c>
      <c r="AG35" s="25">
        <v>339.67400000000004</v>
      </c>
      <c r="AH35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>
        <v>45.992606226829288</v>
      </c>
      <c r="BB35" s="12">
        <v>-20.732778787738095</v>
      </c>
      <c r="BC35" s="12">
        <v>1.5186571115100898</v>
      </c>
      <c r="BD35" s="12">
        <v>-1.6295326439127977</v>
      </c>
      <c r="BE35" s="12">
        <v>-16.983962623822123</v>
      </c>
      <c r="BF35" s="12">
        <v>-9.9097532276604703</v>
      </c>
      <c r="BG35" s="12">
        <v>14.941904658486282</v>
      </c>
      <c r="BH35" s="12">
        <v>-1.4394058678423378</v>
      </c>
      <c r="BI35" s="12">
        <v>-20.278506290354802</v>
      </c>
      <c r="BJ35" s="12">
        <v>9.6979433159438226</v>
      </c>
      <c r="BK35" s="12">
        <v>-24.183820417657422</v>
      </c>
      <c r="BL35" s="12">
        <v>36.404852641766283</v>
      </c>
      <c r="BM35"/>
      <c r="BN35" s="2"/>
    </row>
    <row r="36" spans="1:71" s="15" customFormat="1">
      <c r="A36"/>
      <c r="B36" s="17" t="s">
        <v>21</v>
      </c>
      <c r="C36" s="16">
        <v>57.505000000000003</v>
      </c>
      <c r="D36" s="16">
        <v>74.725999999999999</v>
      </c>
      <c r="E36" s="16">
        <v>82.448999999999998</v>
      </c>
      <c r="F36" s="16">
        <v>155.65</v>
      </c>
      <c r="G36" s="16">
        <v>256.52300000000002</v>
      </c>
      <c r="H36" s="16">
        <v>420.42399999999998</v>
      </c>
      <c r="I36" s="16">
        <v>508.214</v>
      </c>
      <c r="J36" s="16">
        <v>537.22900000000004</v>
      </c>
      <c r="K36" s="16">
        <v>870.42899999999997</v>
      </c>
      <c r="L36" s="16">
        <v>354.02100000000002</v>
      </c>
      <c r="M36" s="16">
        <v>391.85599999999999</v>
      </c>
      <c r="N36" s="16">
        <v>452.07</v>
      </c>
      <c r="O36" s="16">
        <v>544.47</v>
      </c>
      <c r="P36" s="16">
        <v>565.43899999999996</v>
      </c>
      <c r="Q36" s="16">
        <v>533.07100000000003</v>
      </c>
      <c r="R36" s="16">
        <v>542.93200000000002</v>
      </c>
      <c r="S36" s="16">
        <v>562.16800000000001</v>
      </c>
      <c r="T36" s="16">
        <v>595.52599999999995</v>
      </c>
      <c r="U36" s="16">
        <v>616.71199999999999</v>
      </c>
      <c r="V36" s="16">
        <v>621.49099999999999</v>
      </c>
      <c r="W36" s="16">
        <v>573.96500000000003</v>
      </c>
      <c r="X36" s="16">
        <v>505.38799999999998</v>
      </c>
      <c r="Y36" s="16">
        <v>514.66499999999996</v>
      </c>
      <c r="Z36" s="16">
        <v>526.56399999999996</v>
      </c>
      <c r="AA36" s="16">
        <v>544.56500000000005</v>
      </c>
      <c r="AB36" s="16">
        <v>477.01299999999998</v>
      </c>
      <c r="AC36" s="16">
        <v>506.3</v>
      </c>
      <c r="AD36" s="16">
        <v>565.72799999999995</v>
      </c>
      <c r="AE36" s="16">
        <v>587.81600000000003</v>
      </c>
      <c r="AF36" s="25">
        <v>616.08799999999997</v>
      </c>
      <c r="AG36" s="25">
        <v>616.08799999999997</v>
      </c>
      <c r="AH36"/>
      <c r="AI36" s="12">
        <v>29.946961133814444</v>
      </c>
      <c r="AJ36" s="12">
        <v>10.335090865294543</v>
      </c>
      <c r="AK36" s="12">
        <v>88.783369113027447</v>
      </c>
      <c r="AL36" s="12">
        <v>64.807581111468039</v>
      </c>
      <c r="AM36" s="12">
        <v>63.89329611769702</v>
      </c>
      <c r="AN36" s="12">
        <v>20.881300782067633</v>
      </c>
      <c r="AO36" s="12">
        <v>5.7092091126966285</v>
      </c>
      <c r="AP36" s="12">
        <v>62.021968285405272</v>
      </c>
      <c r="AQ36" s="12">
        <v>-59.327986544565945</v>
      </c>
      <c r="AR36" s="12">
        <v>10.687219119769725</v>
      </c>
      <c r="AS36" s="12">
        <v>15.366359070679025</v>
      </c>
      <c r="AT36" s="12">
        <v>20.43931249585242</v>
      </c>
      <c r="AU36" s="12">
        <v>3.8512682057780845</v>
      </c>
      <c r="AV36" s="12">
        <v>-5.7244017480223226</v>
      </c>
      <c r="AW36" s="12">
        <v>1.8498473936867676</v>
      </c>
      <c r="AX36" s="12">
        <v>3.5429851252090483</v>
      </c>
      <c r="AY36" s="12">
        <v>5.933813379630279</v>
      </c>
      <c r="AZ36" s="12">
        <v>3.5575272951978651</v>
      </c>
      <c r="BA36" s="12">
        <v>0.77491600617468059</v>
      </c>
      <c r="BB36" s="12">
        <v>-7.6470938436759264</v>
      </c>
      <c r="BC36" s="12">
        <v>-11.947941076546488</v>
      </c>
      <c r="BD36" s="12">
        <v>1.8356193657150521</v>
      </c>
      <c r="BE36" s="12">
        <v>2.3119893522971258</v>
      </c>
      <c r="BF36" s="12">
        <v>3.4185777987101456</v>
      </c>
      <c r="BG36" s="12">
        <v>-12.404763435035317</v>
      </c>
      <c r="BH36" s="12">
        <v>6.1396649567202646</v>
      </c>
      <c r="BI36" s="12">
        <v>11.737704918032774</v>
      </c>
      <c r="BJ36" s="12">
        <v>3.9043497935403728</v>
      </c>
      <c r="BK36" s="12">
        <v>4.8096683315867432</v>
      </c>
      <c r="BL36" s="12">
        <v>0</v>
      </c>
      <c r="BM36"/>
      <c r="BN36" s="2"/>
    </row>
    <row r="37" spans="1:71" s="15" customFormat="1">
      <c r="A37"/>
      <c r="B37" s="17" t="s">
        <v>10</v>
      </c>
      <c r="C37" s="16">
        <v>-1121.827</v>
      </c>
      <c r="D37" s="16">
        <v>-1757.7149999999999</v>
      </c>
      <c r="E37" s="16">
        <v>-1699.7550000000001</v>
      </c>
      <c r="F37" s="16">
        <v>-2393.866</v>
      </c>
      <c r="G37" s="16">
        <v>-3285.5079999999998</v>
      </c>
      <c r="H37" s="16">
        <v>-3172.2179999999998</v>
      </c>
      <c r="I37" s="16">
        <v>-3025.76</v>
      </c>
      <c r="J37" s="16">
        <v>-3149.7539999999999</v>
      </c>
      <c r="K37" s="16">
        <v>-3829.1840000000002</v>
      </c>
      <c r="L37" s="16">
        <v>-2985.6430000000005</v>
      </c>
      <c r="M37" s="16">
        <v>-1901.8150000000005</v>
      </c>
      <c r="N37" s="16">
        <v>588.54999999999995</v>
      </c>
      <c r="O37" s="16">
        <v>-2339.6589999999992</v>
      </c>
      <c r="P37" s="16">
        <v>-5942.4250000000011</v>
      </c>
      <c r="Q37" s="16">
        <v>-5833.741</v>
      </c>
      <c r="R37" s="16">
        <v>-4516.2549999999992</v>
      </c>
      <c r="S37" s="16">
        <v>-4640.3769999999995</v>
      </c>
      <c r="T37" s="16">
        <v>-3870.1240000000012</v>
      </c>
      <c r="U37" s="16">
        <v>-3517.1239999999998</v>
      </c>
      <c r="V37" s="16">
        <v>-2720.2789999999995</v>
      </c>
      <c r="W37" s="16">
        <v>-2204.3139999999999</v>
      </c>
      <c r="X37" s="16">
        <v>86.719000000000023</v>
      </c>
      <c r="Y37" s="16">
        <v>1336.3569999999997</v>
      </c>
      <c r="Z37" s="16">
        <v>2649.2819999999997</v>
      </c>
      <c r="AA37" s="16">
        <v>3503.27</v>
      </c>
      <c r="AB37" s="16">
        <v>3395.7869999999994</v>
      </c>
      <c r="AC37" s="16">
        <v>7385.7920000000004</v>
      </c>
      <c r="AD37" s="16">
        <v>7052.3119999999999</v>
      </c>
      <c r="AE37" s="16">
        <v>5426.1509999999989</v>
      </c>
      <c r="AF37" s="25">
        <v>9116.2930000000015</v>
      </c>
      <c r="AG37" s="25">
        <v>12990.718000000001</v>
      </c>
      <c r="AH37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/>
      <c r="BN37" s="2"/>
    </row>
    <row r="38" spans="1:71" s="15" customFormat="1">
      <c r="A38"/>
      <c r="B38" s="17" t="s">
        <v>20</v>
      </c>
      <c r="C38" s="16"/>
      <c r="D38" s="16"/>
      <c r="E38" s="16"/>
      <c r="F38" s="16"/>
      <c r="G38" s="16"/>
      <c r="H38" s="16"/>
      <c r="I38" s="16"/>
      <c r="J38" s="16"/>
      <c r="K38" s="16">
        <v>-609.20399999999995</v>
      </c>
      <c r="L38" s="16">
        <v>-662.4849999999999</v>
      </c>
      <c r="M38" s="16">
        <v>-717.16800000000001</v>
      </c>
      <c r="N38" s="16">
        <v>-769.47900000000004</v>
      </c>
      <c r="O38" s="16">
        <v>-1357.951</v>
      </c>
      <c r="P38" s="16">
        <v>-1935.7720000000004</v>
      </c>
      <c r="Q38" s="16">
        <v>-1895.32</v>
      </c>
      <c r="R38" s="16">
        <v>-1871.8759999999997</v>
      </c>
      <c r="S38" s="16">
        <v>-865.89400000000001</v>
      </c>
      <c r="T38" s="16">
        <v>-836.32</v>
      </c>
      <c r="U38" s="16">
        <v>-805.79300000000001</v>
      </c>
      <c r="V38" s="16">
        <v>-792.70100000000002</v>
      </c>
      <c r="W38" s="16">
        <v>-1605.43</v>
      </c>
      <c r="X38" s="16">
        <v>-1781.354</v>
      </c>
      <c r="Y38" s="16">
        <v>-1851.971</v>
      </c>
      <c r="Z38" s="16">
        <v>-2378.2400000000002</v>
      </c>
      <c r="AA38" s="16">
        <v>-2860.855</v>
      </c>
      <c r="AB38" s="16">
        <v>-2707.7939999999999</v>
      </c>
      <c r="AC38" s="16">
        <v>-2813.3900000000003</v>
      </c>
      <c r="AD38" s="16">
        <v>-2944.5309999999999</v>
      </c>
      <c r="AE38" s="16">
        <v>-3069.6529999999998</v>
      </c>
      <c r="AF38" s="25">
        <v>-3110.3520000000003</v>
      </c>
      <c r="AG38" s="25">
        <v>-3141</v>
      </c>
      <c r="AH38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/>
      <c r="BN38" s="2"/>
    </row>
    <row r="39" spans="1:71" s="15" customFormat="1" ht="6.75" customHeight="1">
      <c r="A39"/>
      <c r="B39" s="2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/>
      <c r="BN39" s="2"/>
    </row>
    <row r="40" spans="1:71" s="23" customFormat="1">
      <c r="A40"/>
      <c r="B40" s="22" t="s">
        <v>19</v>
      </c>
      <c r="C40" s="16">
        <v>1544.7360000000008</v>
      </c>
      <c r="D40" s="16">
        <v>766.09800000000905</v>
      </c>
      <c r="E40" s="16">
        <v>1787.2690000000002</v>
      </c>
      <c r="F40" s="16">
        <v>49.031999999999243</v>
      </c>
      <c r="G40" s="16">
        <v>2807.0299999999988</v>
      </c>
      <c r="H40" s="16">
        <v>301.26599999999598</v>
      </c>
      <c r="I40" s="16">
        <v>224.39100000000326</v>
      </c>
      <c r="J40" s="16">
        <v>-174.21399999999994</v>
      </c>
      <c r="K40" s="16">
        <v>2438.4160000000047</v>
      </c>
      <c r="L40" s="16">
        <v>-580.29300000000512</v>
      </c>
      <c r="M40" s="16">
        <v>-75.114999999997963</v>
      </c>
      <c r="N40" s="16">
        <v>-1824.6259999999893</v>
      </c>
      <c r="O40" s="16">
        <v>4708.8149999999878</v>
      </c>
      <c r="P40" s="16">
        <v>6528.3849999999875</v>
      </c>
      <c r="Q40" s="16">
        <v>1025.0169999999925</v>
      </c>
      <c r="R40" s="16">
        <v>66.329999999987194</v>
      </c>
      <c r="S40" s="16">
        <v>1419.2350000000006</v>
      </c>
      <c r="T40" s="16">
        <v>1580.198000000004</v>
      </c>
      <c r="U40" s="16">
        <v>507.75399999998626</v>
      </c>
      <c r="V40" s="16">
        <v>1867.2329999999929</v>
      </c>
      <c r="W40" s="16">
        <v>4275.2229999999981</v>
      </c>
      <c r="X40" s="16">
        <v>692.65162211771531</v>
      </c>
      <c r="Y40" s="16">
        <v>884.28699999999662</v>
      </c>
      <c r="Z40" s="16">
        <v>895.67400000001362</v>
      </c>
      <c r="AA40" s="16">
        <v>498.60100000000966</v>
      </c>
      <c r="AB40" s="16">
        <v>1783.4229999999952</v>
      </c>
      <c r="AC40" s="16">
        <v>-1877.333999999988</v>
      </c>
      <c r="AD40" s="16">
        <v>1559.6209999999846</v>
      </c>
      <c r="AE40" s="16">
        <v>3618.6680000000488</v>
      </c>
      <c r="AF40" s="25">
        <v>-2884.9179999999906</v>
      </c>
      <c r="AG40" s="25">
        <v>-4268.3770000000368</v>
      </c>
      <c r="AH40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/>
      <c r="BN40" s="24"/>
    </row>
    <row r="41" spans="1:71" s="15" customFormat="1" ht="6.75" customHeight="1">
      <c r="A41"/>
      <c r="B41" s="2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/>
      <c r="BN41" s="2"/>
    </row>
    <row r="42" spans="1:71" s="15" customFormat="1">
      <c r="A42"/>
      <c r="B42" s="22" t="s">
        <v>18</v>
      </c>
      <c r="C42" s="21">
        <v>31418.088</v>
      </c>
      <c r="D42" s="21">
        <v>31673.812000000002</v>
      </c>
      <c r="E42" s="21">
        <v>33366.724000000002</v>
      </c>
      <c r="F42" s="21">
        <v>34087.288999999997</v>
      </c>
      <c r="G42" s="21">
        <v>35459.665999999997</v>
      </c>
      <c r="H42" s="21">
        <v>36765.909</v>
      </c>
      <c r="I42" s="21">
        <v>41371.434999999998</v>
      </c>
      <c r="J42" s="21">
        <v>44343.555999999997</v>
      </c>
      <c r="K42" s="21">
        <v>46451.271999999997</v>
      </c>
      <c r="L42" s="21">
        <v>47722.336000000003</v>
      </c>
      <c r="M42" s="21">
        <v>54722.604000000007</v>
      </c>
      <c r="N42" s="21">
        <v>62813.059000000008</v>
      </c>
      <c r="O42" s="21">
        <v>72614.265999999989</v>
      </c>
      <c r="P42" s="21">
        <v>71341.143999999986</v>
      </c>
      <c r="Q42" s="21">
        <v>63856.923999999999</v>
      </c>
      <c r="R42" s="21">
        <v>66977.05799999999</v>
      </c>
      <c r="S42" s="21">
        <v>69803.319000000003</v>
      </c>
      <c r="T42" s="21">
        <v>70618.603000000003</v>
      </c>
      <c r="U42" s="21">
        <v>69951.546000000002</v>
      </c>
      <c r="V42" s="21">
        <v>72661.876000000004</v>
      </c>
      <c r="W42" s="21">
        <v>72345.521999999997</v>
      </c>
      <c r="X42" s="21">
        <v>72415.934999999998</v>
      </c>
      <c r="Y42" s="21">
        <v>77037.657000000007</v>
      </c>
      <c r="Z42" s="21">
        <v>82858.655000000013</v>
      </c>
      <c r="AA42" s="21">
        <v>86892.206999999995</v>
      </c>
      <c r="AB42" s="21">
        <v>87971.622999999992</v>
      </c>
      <c r="AC42" s="21">
        <v>94545.865000000005</v>
      </c>
      <c r="AD42" s="21">
        <v>109485.42299999998</v>
      </c>
      <c r="AE42" s="21">
        <v>120280.38</v>
      </c>
      <c r="AF42" s="21">
        <v>129408.30099999999</v>
      </c>
      <c r="AG42" s="21">
        <v>142465.65299999999</v>
      </c>
      <c r="AH42"/>
      <c r="AI42" s="20">
        <v>0.81393877310421303</v>
      </c>
      <c r="AJ42" s="20">
        <v>5.3448318756201498</v>
      </c>
      <c r="AK42" s="20">
        <v>2.1595317538515171</v>
      </c>
      <c r="AL42" s="20">
        <v>4.0260667253415212</v>
      </c>
      <c r="AM42" s="20">
        <v>3.6837431012463635</v>
      </c>
      <c r="AN42" s="20">
        <v>12.526620788840004</v>
      </c>
      <c r="AO42" s="20">
        <v>7.1839930135369956</v>
      </c>
      <c r="AP42" s="20">
        <v>4.7531506043403473</v>
      </c>
      <c r="AQ42" s="20">
        <v>2.7363384150169363</v>
      </c>
      <c r="AR42" s="20">
        <v>14.668745469626641</v>
      </c>
      <c r="AS42" s="20">
        <v>14.784484671087657</v>
      </c>
      <c r="AT42" s="20">
        <v>15.603772775976378</v>
      </c>
      <c r="AU42" s="20">
        <v>-1.7532670508574764</v>
      </c>
      <c r="AV42" s="20">
        <v>-10.490748508322193</v>
      </c>
      <c r="AW42" s="20">
        <v>4.8861326298773662</v>
      </c>
      <c r="AX42" s="20">
        <v>4.219744916236861</v>
      </c>
      <c r="AY42" s="20">
        <v>1.1679731160061309</v>
      </c>
      <c r="AZ42" s="20">
        <v>-0.94459104494038304</v>
      </c>
      <c r="BA42" s="20">
        <v>3.8745819856504697</v>
      </c>
      <c r="BB42" s="20">
        <v>-0.43537824429416966</v>
      </c>
      <c r="BC42" s="20">
        <v>9.732876072136222E-2</v>
      </c>
      <c r="BD42" s="20">
        <v>6.3821892239601805</v>
      </c>
      <c r="BE42" s="20">
        <v>7.5560423650994561</v>
      </c>
      <c r="BF42" s="20">
        <v>4.8679911591613223</v>
      </c>
      <c r="BG42" s="20">
        <v>1.2422471902457231</v>
      </c>
      <c r="BH42" s="20">
        <v>7.4731393781378959</v>
      </c>
      <c r="BI42" s="20">
        <v>15.801386977632468</v>
      </c>
      <c r="BJ42" s="20">
        <v>9.8597207776235454</v>
      </c>
      <c r="BK42" s="20">
        <v>7.5888694398870262</v>
      </c>
      <c r="BL42" s="20">
        <v>10.090042059975735</v>
      </c>
      <c r="BM42"/>
      <c r="BN42" s="2"/>
      <c r="BQ42" s="19"/>
      <c r="BR42" s="19"/>
      <c r="BS42" s="19"/>
    </row>
    <row r="43" spans="1:71" s="15" customFormat="1">
      <c r="A43"/>
      <c r="B43" s="18" t="s">
        <v>17</v>
      </c>
      <c r="C43" s="16">
        <v>31939.724000000002</v>
      </c>
      <c r="D43" s="16">
        <v>32367.085000000003</v>
      </c>
      <c r="E43" s="16">
        <v>34881.425999999999</v>
      </c>
      <c r="F43" s="16">
        <v>36255.587999999996</v>
      </c>
      <c r="G43" s="16">
        <v>37508.914999999994</v>
      </c>
      <c r="H43" s="16">
        <v>39636.974000000002</v>
      </c>
      <c r="I43" s="16">
        <v>44250.771999999997</v>
      </c>
      <c r="J43" s="16">
        <v>47047.495999999999</v>
      </c>
      <c r="K43" s="16">
        <v>49625.318999999996</v>
      </c>
      <c r="L43" s="16">
        <v>51516.090000000004</v>
      </c>
      <c r="M43" s="16">
        <v>58235.292999999998</v>
      </c>
      <c r="N43" s="16">
        <v>65188.338000000003</v>
      </c>
      <c r="O43" s="16">
        <v>72732.745999999999</v>
      </c>
      <c r="P43" s="16">
        <v>75134.8</v>
      </c>
      <c r="Q43" s="16">
        <v>71258.67300000001</v>
      </c>
      <c r="R43" s="16">
        <v>73907.664000000004</v>
      </c>
      <c r="S43" s="16">
        <v>74700.232999999993</v>
      </c>
      <c r="T43" s="16">
        <v>74943.930000000008</v>
      </c>
      <c r="U43" s="16">
        <v>74107.118999999992</v>
      </c>
      <c r="V43" s="16">
        <v>76212.303</v>
      </c>
      <c r="W43" s="16">
        <v>74952.326000000001</v>
      </c>
      <c r="X43" s="16">
        <v>75377.806000000011</v>
      </c>
      <c r="Y43" s="16">
        <v>77998.827000000005</v>
      </c>
      <c r="Z43" s="16">
        <v>82798.548999999999</v>
      </c>
      <c r="AA43" s="16">
        <v>87107.560000000012</v>
      </c>
      <c r="AB43" s="16">
        <v>86820.560999999987</v>
      </c>
      <c r="AC43" s="16">
        <v>93041.607999999993</v>
      </c>
      <c r="AD43" s="16">
        <v>104426.97499999999</v>
      </c>
      <c r="AE43" s="16">
        <v>115738.58300000001</v>
      </c>
      <c r="AF43" s="16">
        <v>127307.95000000001</v>
      </c>
      <c r="AG43" s="16">
        <v>138276.25799999997</v>
      </c>
      <c r="AH43"/>
      <c r="AI43" s="12">
        <v>1.3380234594387879</v>
      </c>
      <c r="AJ43" s="12">
        <v>7.7682034078756139</v>
      </c>
      <c r="AK43" s="12">
        <v>3.9395235733768357</v>
      </c>
      <c r="AL43" s="12">
        <v>3.4569209027860688</v>
      </c>
      <c r="AM43" s="12">
        <v>5.6734752258230046</v>
      </c>
      <c r="AN43" s="12">
        <v>11.640136807618045</v>
      </c>
      <c r="AO43" s="12">
        <v>6.3201699622325282</v>
      </c>
      <c r="AP43" s="12">
        <v>5.479192771492019</v>
      </c>
      <c r="AQ43" s="12">
        <v>3.8100933920445086</v>
      </c>
      <c r="AR43" s="12">
        <v>13.042921153371681</v>
      </c>
      <c r="AS43" s="12">
        <v>11.939572451365542</v>
      </c>
      <c r="AT43" s="12">
        <v>11.573247963462414</v>
      </c>
      <c r="AU43" s="12">
        <v>3.30257570640878</v>
      </c>
      <c r="AV43" s="12">
        <v>-5.1588970756560117</v>
      </c>
      <c r="AW43" s="12">
        <v>3.717429596254191</v>
      </c>
      <c r="AX43" s="12">
        <v>1.0723772841744648</v>
      </c>
      <c r="AY43" s="12">
        <v>0.3262332528467678</v>
      </c>
      <c r="AZ43" s="12">
        <v>-1.1165827572693559</v>
      </c>
      <c r="BA43" s="12">
        <v>2.8407311313775518</v>
      </c>
      <c r="BB43" s="12">
        <v>-1.6532461956962499</v>
      </c>
      <c r="BC43" s="12">
        <v>0.56766750640935471</v>
      </c>
      <c r="BD43" s="12">
        <v>3.4771786804195295</v>
      </c>
      <c r="BE43" s="12">
        <v>6.1535822840002377</v>
      </c>
      <c r="BF43" s="12">
        <v>5.2042107646113616</v>
      </c>
      <c r="BG43" s="12">
        <v>-0.32947656896832517</v>
      </c>
      <c r="BH43" s="12">
        <v>7.1654075121675467</v>
      </c>
      <c r="BI43" s="12">
        <v>12.236855364752508</v>
      </c>
      <c r="BJ43" s="12">
        <v>10.832074758461616</v>
      </c>
      <c r="BK43" s="12">
        <v>9.9961194444552657</v>
      </c>
      <c r="BL43" s="12">
        <v>8.6155719261836836</v>
      </c>
      <c r="BM43"/>
      <c r="BN43" s="2"/>
    </row>
    <row r="44" spans="1:71" s="15" customFormat="1">
      <c r="A44"/>
      <c r="B44" s="17" t="s">
        <v>16</v>
      </c>
      <c r="C44" s="16">
        <v>24198.141</v>
      </c>
      <c r="D44" s="16">
        <v>24882.82</v>
      </c>
      <c r="E44" s="16">
        <v>28237.098000000002</v>
      </c>
      <c r="F44" s="16">
        <v>29830.817999999999</v>
      </c>
      <c r="G44" s="16">
        <v>30868.06</v>
      </c>
      <c r="H44" s="16">
        <v>32744.179</v>
      </c>
      <c r="I44" s="16">
        <v>37382.762999999999</v>
      </c>
      <c r="J44" s="16">
        <v>40577.421999999999</v>
      </c>
      <c r="K44" s="16">
        <v>43416.932999999997</v>
      </c>
      <c r="L44" s="16">
        <v>45106.436000000002</v>
      </c>
      <c r="M44" s="16">
        <v>50789.537000000004</v>
      </c>
      <c r="N44" s="16">
        <v>56525.462</v>
      </c>
      <c r="O44" s="16">
        <v>61581.642</v>
      </c>
      <c r="P44" s="16">
        <v>63003.506000000008</v>
      </c>
      <c r="Q44" s="16">
        <v>61067.947000000007</v>
      </c>
      <c r="R44" s="16">
        <v>64173.755999999994</v>
      </c>
      <c r="S44" s="16">
        <v>64874.812000000005</v>
      </c>
      <c r="T44" s="16">
        <v>65025.823000000004</v>
      </c>
      <c r="U44" s="16">
        <v>64762.118000000002</v>
      </c>
      <c r="V44" s="16">
        <v>66876.135000000009</v>
      </c>
      <c r="W44" s="16">
        <v>66066.712</v>
      </c>
      <c r="X44" s="16">
        <v>66607.922000000006</v>
      </c>
      <c r="Y44" s="16">
        <v>68885.599000000002</v>
      </c>
      <c r="Z44" s="16">
        <v>73339.300999999978</v>
      </c>
      <c r="AA44" s="16">
        <v>77328.978000000003</v>
      </c>
      <c r="AB44" s="16">
        <v>78512.513000000006</v>
      </c>
      <c r="AC44" s="16">
        <v>83279.828000000009</v>
      </c>
      <c r="AD44" s="16">
        <v>93776.302000000011</v>
      </c>
      <c r="AE44" s="16">
        <v>104060.40499999998</v>
      </c>
      <c r="AF44" s="16">
        <v>113476.43400000001</v>
      </c>
      <c r="AG44" s="16">
        <v>123294.01100000001</v>
      </c>
      <c r="AH44"/>
      <c r="AI44" s="12">
        <v>2.8294694208121198</v>
      </c>
      <c r="AJ44" s="12">
        <v>13.480296847383062</v>
      </c>
      <c r="AK44" s="12">
        <v>5.6440644148346886</v>
      </c>
      <c r="AL44" s="12">
        <v>3.4770819895049545</v>
      </c>
      <c r="AM44" s="12">
        <v>6.0778649516684844</v>
      </c>
      <c r="AN44" s="12">
        <v>14.16613316217212</v>
      </c>
      <c r="AO44" s="12">
        <v>8.5458075958697854</v>
      </c>
      <c r="AP44" s="12">
        <v>6.9977609716063247</v>
      </c>
      <c r="AQ44" s="12">
        <v>3.8913458028000374</v>
      </c>
      <c r="AR44" s="12">
        <v>12.599312878543545</v>
      </c>
      <c r="AS44" s="12">
        <v>11.293517009221791</v>
      </c>
      <c r="AT44" s="12">
        <v>8.9449600606537274</v>
      </c>
      <c r="AU44" s="12">
        <v>2.3089088790454935</v>
      </c>
      <c r="AV44" s="12">
        <v>-3.0721449057136612</v>
      </c>
      <c r="AW44" s="12">
        <v>5.0858251383495601</v>
      </c>
      <c r="AX44" s="12">
        <v>1.0924341096693975</v>
      </c>
      <c r="AY44" s="12">
        <v>0.23277292888339868</v>
      </c>
      <c r="AZ44" s="12">
        <v>-0.4055388887580888</v>
      </c>
      <c r="BA44" s="12">
        <v>3.2642802077597386</v>
      </c>
      <c r="BB44" s="12">
        <v>-1.2103316078299227</v>
      </c>
      <c r="BC44" s="12">
        <v>0.81918712709663288</v>
      </c>
      <c r="BD44" s="12">
        <v>3.4195286860923177</v>
      </c>
      <c r="BE44" s="12">
        <v>6.4653600529770747</v>
      </c>
      <c r="BF44" s="12">
        <v>5.4400259418889556</v>
      </c>
      <c r="BG44" s="12">
        <v>1.5305193869237526</v>
      </c>
      <c r="BH44" s="12">
        <v>6.0720448471697779</v>
      </c>
      <c r="BI44" s="12">
        <v>12.603861285592473</v>
      </c>
      <c r="BJ44" s="12">
        <v>10.966633126565359</v>
      </c>
      <c r="BK44" s="12">
        <v>9.0486184442584339</v>
      </c>
      <c r="BL44" s="12">
        <v>8.6516439175379833</v>
      </c>
      <c r="BM44"/>
      <c r="BN44" s="2"/>
    </row>
    <row r="45" spans="1:71" s="15" customFormat="1">
      <c r="A45"/>
      <c r="B45" s="17" t="s">
        <v>15</v>
      </c>
      <c r="C45" s="16">
        <v>5228.174</v>
      </c>
      <c r="D45" s="16">
        <v>5119.5590000000002</v>
      </c>
      <c r="E45" s="16">
        <v>4295.8999999999996</v>
      </c>
      <c r="F45" s="16">
        <v>3674.32</v>
      </c>
      <c r="G45" s="16">
        <v>2973.127</v>
      </c>
      <c r="H45" s="16">
        <v>2722.248</v>
      </c>
      <c r="I45" s="16">
        <v>3116.56</v>
      </c>
      <c r="J45" s="16">
        <v>2644.902</v>
      </c>
      <c r="K45" s="16">
        <v>2274.3649999999998</v>
      </c>
      <c r="L45" s="16">
        <v>2205.7579999999998</v>
      </c>
      <c r="M45" s="16">
        <v>2476.6089999999999</v>
      </c>
      <c r="N45" s="16">
        <v>3291.375</v>
      </c>
      <c r="O45" s="16">
        <v>4775.0110000000004</v>
      </c>
      <c r="P45" s="16">
        <v>6125.5899999999992</v>
      </c>
      <c r="Q45" s="16">
        <v>5472.8909999999996</v>
      </c>
      <c r="R45" s="16">
        <v>4790.0649999999996</v>
      </c>
      <c r="S45" s="16">
        <v>5157.4399999999987</v>
      </c>
      <c r="T45" s="16">
        <v>5264.1549999999997</v>
      </c>
      <c r="U45" s="16">
        <v>4673.5649999999996</v>
      </c>
      <c r="V45" s="16">
        <v>4062.0549999999998</v>
      </c>
      <c r="W45" s="16">
        <v>3280.7969999999996</v>
      </c>
      <c r="X45" s="16">
        <v>3050.8970000000004</v>
      </c>
      <c r="Y45" s="16">
        <v>2946.2720000000004</v>
      </c>
      <c r="Z45" s="16">
        <v>3127.3680000000004</v>
      </c>
      <c r="AA45" s="16">
        <v>3259.0710000000008</v>
      </c>
      <c r="AB45" s="16">
        <v>2606.5429999999997</v>
      </c>
      <c r="AC45" s="16">
        <v>2799.8539999999998</v>
      </c>
      <c r="AD45" s="16">
        <v>3065.6150000000002</v>
      </c>
      <c r="AE45" s="16">
        <v>3884.51</v>
      </c>
      <c r="AF45" s="16">
        <v>5468.4630000000006</v>
      </c>
      <c r="AG45" s="16">
        <v>5858.5570000000007</v>
      </c>
      <c r="AH45"/>
      <c r="AI45" s="12">
        <v>-2.0774939778209331</v>
      </c>
      <c r="AJ45" s="12">
        <v>-16.088475589401362</v>
      </c>
      <c r="AK45" s="12">
        <v>-14.469144998719699</v>
      </c>
      <c r="AL45" s="12">
        <v>-19.083612750114312</v>
      </c>
      <c r="AM45" s="12">
        <v>-8.4382200962151934</v>
      </c>
      <c r="AN45" s="12">
        <v>14.484793450119163</v>
      </c>
      <c r="AO45" s="12">
        <v>-15.133929717380699</v>
      </c>
      <c r="AP45" s="12">
        <v>-14.009479368233691</v>
      </c>
      <c r="AQ45" s="12">
        <v>-3.0165342853939441</v>
      </c>
      <c r="AR45" s="12">
        <v>12.279270890097651</v>
      </c>
      <c r="AS45" s="12">
        <v>32.898451067568601</v>
      </c>
      <c r="AT45" s="12">
        <v>45.076480194447619</v>
      </c>
      <c r="AU45" s="12">
        <v>28.284311805773822</v>
      </c>
      <c r="AV45" s="12">
        <v>-10.655283817558795</v>
      </c>
      <c r="AW45" s="12">
        <v>-12.476513784031148</v>
      </c>
      <c r="AX45" s="12">
        <v>7.6695201422109962</v>
      </c>
      <c r="AY45" s="12">
        <v>2.0691467084445208</v>
      </c>
      <c r="AZ45" s="12">
        <v>-11.219084544433061</v>
      </c>
      <c r="BA45" s="12">
        <v>-13.084444102093366</v>
      </c>
      <c r="BB45" s="12">
        <v>-19.233072915063936</v>
      </c>
      <c r="BC45" s="12">
        <v>-7.0074436181208171</v>
      </c>
      <c r="BD45" s="12">
        <v>-3.4293193116647331</v>
      </c>
      <c r="BE45" s="12">
        <v>6.146615112250327</v>
      </c>
      <c r="BF45" s="12">
        <v>4.2113048416432095</v>
      </c>
      <c r="BG45" s="12">
        <v>-20.021901946904531</v>
      </c>
      <c r="BH45" s="12">
        <v>7.4163748689356037</v>
      </c>
      <c r="BI45" s="12">
        <v>9.4919592235881023</v>
      </c>
      <c r="BJ45" s="12">
        <v>26.71225838861044</v>
      </c>
      <c r="BK45" s="12">
        <v>40.776133926801592</v>
      </c>
      <c r="BL45" s="12">
        <v>7.1335217957952723</v>
      </c>
      <c r="BM45"/>
      <c r="BN45" s="2"/>
    </row>
    <row r="46" spans="1:71" s="15" customFormat="1">
      <c r="A46"/>
      <c r="B46" s="17" t="s">
        <v>14</v>
      </c>
      <c r="C46" s="16"/>
      <c r="D46" s="16"/>
      <c r="E46" s="16"/>
      <c r="F46" s="16">
        <v>395.33499999999998</v>
      </c>
      <c r="G46" s="16">
        <v>846.85299999999995</v>
      </c>
      <c r="H46" s="16">
        <v>928.92499999999995</v>
      </c>
      <c r="I46" s="16">
        <v>905.89099999999996</v>
      </c>
      <c r="J46" s="16">
        <v>984.19100000000003</v>
      </c>
      <c r="K46" s="16">
        <v>1099.1590000000001</v>
      </c>
      <c r="L46" s="16">
        <v>1191.998</v>
      </c>
      <c r="M46" s="16">
        <v>1313.1030000000001</v>
      </c>
      <c r="N46" s="16">
        <v>1449.6880000000001</v>
      </c>
      <c r="O46" s="16">
        <v>1849.8429999999998</v>
      </c>
      <c r="P46" s="16">
        <v>2071.3830000000003</v>
      </c>
      <c r="Q46" s="16">
        <v>2005.8140000000003</v>
      </c>
      <c r="R46" s="16">
        <v>2017.201</v>
      </c>
      <c r="S46" s="16">
        <v>1990.462</v>
      </c>
      <c r="T46" s="16">
        <v>2014.6100000000004</v>
      </c>
      <c r="U46" s="16">
        <v>1940.499</v>
      </c>
      <c r="V46" s="16">
        <v>1879.1699999999998</v>
      </c>
      <c r="W46" s="16">
        <v>1801.5929999999998</v>
      </c>
      <c r="X46" s="16">
        <v>1763.0700000000002</v>
      </c>
      <c r="Y46" s="16">
        <v>1806.7890000000002</v>
      </c>
      <c r="Z46" s="16">
        <v>1869.537</v>
      </c>
      <c r="AA46" s="16">
        <v>1930.3909999999998</v>
      </c>
      <c r="AB46" s="16">
        <v>1787.2049999999997</v>
      </c>
      <c r="AC46" s="16">
        <v>1783.3480000000002</v>
      </c>
      <c r="AD46" s="16">
        <v>1984.9680000000001</v>
      </c>
      <c r="AE46" s="16">
        <v>2118.0769999999998</v>
      </c>
      <c r="AF46" s="16">
        <v>2241.8359999999998</v>
      </c>
      <c r="AG46" s="16">
        <v>2357.998</v>
      </c>
      <c r="AH46"/>
      <c r="AI46" s="12"/>
      <c r="AJ46" s="12"/>
      <c r="AK46" s="12"/>
      <c r="AL46" s="12"/>
      <c r="AM46" s="12">
        <v>9.69141043368802</v>
      </c>
      <c r="AN46" s="12">
        <v>-2.4796404445999398</v>
      </c>
      <c r="AO46" s="12">
        <v>8.6434239880957069</v>
      </c>
      <c r="AP46" s="12">
        <v>11.681472397126173</v>
      </c>
      <c r="AQ46" s="12">
        <v>8.4463667221939627</v>
      </c>
      <c r="AR46" s="12">
        <v>10.159832482940409</v>
      </c>
      <c r="AS46" s="12">
        <v>10.401697353520632</v>
      </c>
      <c r="AT46" s="12">
        <v>27.602835920556679</v>
      </c>
      <c r="AU46" s="12">
        <v>11.976151489612928</v>
      </c>
      <c r="AV46" s="12">
        <v>-3.165469640332085</v>
      </c>
      <c r="AW46" s="12">
        <v>0.56769969698086231</v>
      </c>
      <c r="AX46" s="12">
        <v>-1.3255496105742577</v>
      </c>
      <c r="AY46" s="12">
        <v>1.2131856825199561</v>
      </c>
      <c r="AZ46" s="12">
        <v>-3.6786772625967465</v>
      </c>
      <c r="BA46" s="12">
        <v>-3.1604757333036595</v>
      </c>
      <c r="BB46" s="12">
        <v>-4.1282587525343635</v>
      </c>
      <c r="BC46" s="12">
        <v>-2.1382742939165333</v>
      </c>
      <c r="BD46" s="12">
        <v>2.4797086899555913</v>
      </c>
      <c r="BE46" s="12">
        <v>3.472901373652364</v>
      </c>
      <c r="BF46" s="12">
        <v>3.2550305236002184</v>
      </c>
      <c r="BG46" s="12">
        <v>-7.4174610221452628</v>
      </c>
      <c r="BH46" s="12">
        <v>-0.21581184027571076</v>
      </c>
      <c r="BI46" s="12">
        <v>11.305701411053809</v>
      </c>
      <c r="BJ46" s="12">
        <v>6.7058511774496958</v>
      </c>
      <c r="BK46" s="12">
        <v>5.8429887109864289</v>
      </c>
      <c r="BL46" s="12">
        <v>5.1815565456170871</v>
      </c>
      <c r="BM46"/>
      <c r="BN46" s="2"/>
    </row>
    <row r="47" spans="1:71" s="15" customFormat="1">
      <c r="A47"/>
      <c r="B47" s="17" t="s">
        <v>13</v>
      </c>
      <c r="C47" s="16"/>
      <c r="D47" s="16"/>
      <c r="E47" s="16"/>
      <c r="F47" s="16"/>
      <c r="G47" s="16">
        <v>541.92700000000002</v>
      </c>
      <c r="H47" s="16">
        <v>943.16200000000003</v>
      </c>
      <c r="I47" s="16">
        <v>504.15</v>
      </c>
      <c r="J47" s="16">
        <v>404.10899999999998</v>
      </c>
      <c r="K47" s="16">
        <v>242.53100000000001</v>
      </c>
      <c r="L47" s="16">
        <v>267.07600000000002</v>
      </c>
      <c r="M47" s="16">
        <v>360.10100000000006</v>
      </c>
      <c r="N47" s="16">
        <v>525.10299999999984</v>
      </c>
      <c r="O47" s="16">
        <v>883.29900000000009</v>
      </c>
      <c r="P47" s="16">
        <v>944.64100000000019</v>
      </c>
      <c r="Q47" s="16">
        <v>464.50700000000001</v>
      </c>
      <c r="R47" s="16">
        <v>405.21899999999994</v>
      </c>
      <c r="S47" s="16">
        <v>337.53199999999998</v>
      </c>
      <c r="T47" s="16">
        <v>333.49800000000005</v>
      </c>
      <c r="U47" s="16">
        <v>354.11099999999999</v>
      </c>
      <c r="V47" s="16">
        <v>478.0030000000001</v>
      </c>
      <c r="W47" s="16">
        <v>677.51300000000003</v>
      </c>
      <c r="X47" s="16">
        <v>441.57600000000002</v>
      </c>
      <c r="Y47" s="16">
        <v>630.23</v>
      </c>
      <c r="Z47" s="16">
        <v>504.23</v>
      </c>
      <c r="AA47" s="16">
        <v>506.04299999999995</v>
      </c>
      <c r="AB47" s="16">
        <v>564.82099999999991</v>
      </c>
      <c r="AC47" s="16">
        <v>1051.8390000000002</v>
      </c>
      <c r="AD47" s="16">
        <v>938.6819999999999</v>
      </c>
      <c r="AE47" s="16">
        <v>519.54099999999994</v>
      </c>
      <c r="AF47" s="16">
        <v>881.30899999999997</v>
      </c>
      <c r="AG47" s="16">
        <v>988.42900000000009</v>
      </c>
      <c r="AH47"/>
      <c r="AI47" s="12"/>
      <c r="AJ47" s="12"/>
      <c r="AK47" s="12"/>
      <c r="AL47" s="12"/>
      <c r="AM47" s="12">
        <v>74.038569770467234</v>
      </c>
      <c r="AN47" s="12">
        <v>-46.546828646616383</v>
      </c>
      <c r="AO47" s="12">
        <v>-19.843498958643263</v>
      </c>
      <c r="AP47" s="12">
        <v>-39.983766755998992</v>
      </c>
      <c r="AQ47" s="12">
        <v>10.120355748337333</v>
      </c>
      <c r="AR47" s="12">
        <v>34.830909553834871</v>
      </c>
      <c r="AS47" s="12">
        <v>45.821033543366937</v>
      </c>
      <c r="AT47" s="12">
        <v>68.214426502990918</v>
      </c>
      <c r="AU47" s="12">
        <v>6.9446472825170291</v>
      </c>
      <c r="AV47" s="12">
        <v>-50.827139622353897</v>
      </c>
      <c r="AW47" s="12">
        <v>-12.763639729864149</v>
      </c>
      <c r="AX47" s="12">
        <v>-16.703807077160736</v>
      </c>
      <c r="AY47" s="12">
        <v>-1.1951459417180994</v>
      </c>
      <c r="AZ47" s="12">
        <v>6.1808466617490776</v>
      </c>
      <c r="BA47" s="12">
        <v>34.986769685211733</v>
      </c>
      <c r="BB47" s="12">
        <v>41.738231768419837</v>
      </c>
      <c r="BC47" s="12">
        <v>-34.823981237260391</v>
      </c>
      <c r="BD47" s="12">
        <v>42.722883490044751</v>
      </c>
      <c r="BE47" s="12">
        <v>-19.992701077384446</v>
      </c>
      <c r="BF47" s="12">
        <v>0.35955813815122689</v>
      </c>
      <c r="BG47" s="12">
        <v>11.615218469576691</v>
      </c>
      <c r="BH47" s="12">
        <v>86.22519346837322</v>
      </c>
      <c r="BI47" s="12">
        <v>-10.758015247580689</v>
      </c>
      <c r="BJ47" s="12">
        <v>-44.652075995917684</v>
      </c>
      <c r="BK47" s="12">
        <v>69.632233067265162</v>
      </c>
      <c r="BL47" s="12">
        <v>12.154647234965275</v>
      </c>
      <c r="BM47"/>
      <c r="BN47" s="2"/>
    </row>
    <row r="48" spans="1:71" s="15" customFormat="1">
      <c r="A48"/>
      <c r="B48" s="17" t="s">
        <v>12</v>
      </c>
      <c r="C48" s="16">
        <v>2626.8980000000001</v>
      </c>
      <c r="D48" s="16">
        <v>2482.1680000000001</v>
      </c>
      <c r="E48" s="16">
        <v>2469.0450000000001</v>
      </c>
      <c r="F48" s="16">
        <v>2478.3040000000001</v>
      </c>
      <c r="G48" s="16">
        <v>2404.3850000000002</v>
      </c>
      <c r="H48" s="16">
        <v>2426.384</v>
      </c>
      <c r="I48" s="16">
        <v>2471.8910000000001</v>
      </c>
      <c r="J48" s="16">
        <v>2569.9639999999999</v>
      </c>
      <c r="K48" s="16">
        <v>2728.085</v>
      </c>
      <c r="L48" s="16">
        <v>2883.2910000000002</v>
      </c>
      <c r="M48" s="16">
        <v>3013.2930000000006</v>
      </c>
      <c r="N48" s="16">
        <v>3167.6229999999996</v>
      </c>
      <c r="O48" s="16">
        <v>3288.8410000000003</v>
      </c>
      <c r="P48" s="16">
        <v>2767.1190000000001</v>
      </c>
      <c r="Q48" s="16">
        <v>2239.2309999999998</v>
      </c>
      <c r="R48" s="16">
        <v>2292.5390000000002</v>
      </c>
      <c r="S48" s="16">
        <v>2158.1900000000005</v>
      </c>
      <c r="T48" s="16">
        <v>2037.6479999999999</v>
      </c>
      <c r="U48" s="16">
        <v>1863.0590000000004</v>
      </c>
      <c r="V48" s="16">
        <v>1996.2369999999999</v>
      </c>
      <c r="W48" s="16">
        <v>2250.3519999999999</v>
      </c>
      <c r="X48" s="16">
        <v>2540.6450000000004</v>
      </c>
      <c r="Y48" s="16">
        <v>2734.7300000000005</v>
      </c>
      <c r="Z48" s="16">
        <v>2923.0599999999995</v>
      </c>
      <c r="AA48" s="16">
        <v>3128.7089999999998</v>
      </c>
      <c r="AB48" s="16">
        <v>2816.5450000000001</v>
      </c>
      <c r="AC48" s="16">
        <v>3305.558</v>
      </c>
      <c r="AD48" s="16">
        <v>4021.6900000000005</v>
      </c>
      <c r="AE48" s="16">
        <v>4327.4259999999995</v>
      </c>
      <c r="AF48" s="16">
        <v>4739.28</v>
      </c>
      <c r="AG48" s="16">
        <v>5278.6640000000007</v>
      </c>
      <c r="AH48"/>
      <c r="AI48" s="12">
        <v>-5.5095401496365684</v>
      </c>
      <c r="AJ48" s="12">
        <v>-0.52869104750363582</v>
      </c>
      <c r="AK48" s="12">
        <v>0.37500329074601774</v>
      </c>
      <c r="AL48" s="12">
        <v>-2.9826445827469055</v>
      </c>
      <c r="AM48" s="12">
        <v>0.91495330406735176</v>
      </c>
      <c r="AN48" s="12">
        <v>1.8755069271805314</v>
      </c>
      <c r="AO48" s="12">
        <v>3.9675293125789066</v>
      </c>
      <c r="AP48" s="12">
        <v>6.1526542784256941</v>
      </c>
      <c r="AQ48" s="12">
        <v>5.6891922355791751</v>
      </c>
      <c r="AR48" s="12">
        <v>4.5088060830488637</v>
      </c>
      <c r="AS48" s="12">
        <v>5.1216393493762133</v>
      </c>
      <c r="AT48" s="12">
        <v>3.8267811541967203</v>
      </c>
      <c r="AU48" s="12">
        <v>-15.863399902883724</v>
      </c>
      <c r="AV48" s="12">
        <v>-19.077170154229016</v>
      </c>
      <c r="AW48" s="12">
        <v>2.3806387103429905</v>
      </c>
      <c r="AX48" s="12">
        <v>-5.860271079357851</v>
      </c>
      <c r="AY48" s="12">
        <v>-5.5853284465223432</v>
      </c>
      <c r="AZ48" s="12">
        <v>-8.5681629015413616</v>
      </c>
      <c r="BA48" s="12">
        <v>7.1483511794312147</v>
      </c>
      <c r="BB48" s="12">
        <v>12.729700932304132</v>
      </c>
      <c r="BC48" s="12">
        <v>12.899892994518217</v>
      </c>
      <c r="BD48" s="12">
        <v>7.6392018562215505</v>
      </c>
      <c r="BE48" s="12">
        <v>6.8866030650191785</v>
      </c>
      <c r="BF48" s="12">
        <v>7.0354012575862415</v>
      </c>
      <c r="BG48" s="12">
        <v>-9.9774060163473113</v>
      </c>
      <c r="BH48" s="12">
        <v>17.362158247072205</v>
      </c>
      <c r="BI48" s="12">
        <v>21.664481458198601</v>
      </c>
      <c r="BJ48" s="12">
        <v>7.6021771941646152</v>
      </c>
      <c r="BK48" s="12">
        <v>9.5172973495098532</v>
      </c>
      <c r="BL48" s="12">
        <v>11.381138063165734</v>
      </c>
      <c r="BM48"/>
      <c r="BN48" s="2"/>
    </row>
    <row r="49" spans="1:66" s="15" customFormat="1">
      <c r="A49"/>
      <c r="B49" s="17" t="s">
        <v>11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266.50400000000002</v>
      </c>
      <c r="V49" s="16">
        <v>457.00400000000002</v>
      </c>
      <c r="W49" s="16">
        <v>448.08300000000003</v>
      </c>
      <c r="X49" s="16">
        <v>435.08100000000002</v>
      </c>
      <c r="Y49" s="16">
        <v>464.87600000000003</v>
      </c>
      <c r="Z49" s="16">
        <v>404.76000000000005</v>
      </c>
      <c r="AA49" s="16">
        <v>343.14100000000002</v>
      </c>
      <c r="AB49" s="16">
        <v>336.46800000000007</v>
      </c>
      <c r="AC49" s="16">
        <v>364.68900000000008</v>
      </c>
      <c r="AD49" s="16">
        <v>357.54900000000004</v>
      </c>
      <c r="AE49" s="16">
        <v>321.95400000000001</v>
      </c>
      <c r="AF49" s="16">
        <v>315.339</v>
      </c>
      <c r="AG49" s="16">
        <v>247.39299999999997</v>
      </c>
      <c r="AH49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>
        <v>71.481103473118594</v>
      </c>
      <c r="BB49" s="12">
        <v>-1.9520616887379523</v>
      </c>
      <c r="BC49" s="12">
        <v>-2.9016945521253894</v>
      </c>
      <c r="BD49" s="12">
        <v>6.8481501145763701</v>
      </c>
      <c r="BE49" s="12">
        <v>-12.931620475137452</v>
      </c>
      <c r="BF49" s="12">
        <v>-15.223589287479006</v>
      </c>
      <c r="BG49" s="12">
        <v>-1.9446816323318823</v>
      </c>
      <c r="BH49" s="12">
        <v>8.3874246585113585</v>
      </c>
      <c r="BI49" s="12">
        <v>-1.9578325641848373</v>
      </c>
      <c r="BJ49" s="12">
        <v>-9.9552788568839574</v>
      </c>
      <c r="BK49" s="12">
        <v>-2.054641346279285</v>
      </c>
      <c r="BL49" s="12">
        <v>-21.546970086161249</v>
      </c>
      <c r="BM49"/>
      <c r="BN49" s="2"/>
    </row>
    <row r="50" spans="1:66" s="15" customFormat="1">
      <c r="A50"/>
      <c r="B50" s="17" t="s">
        <v>10</v>
      </c>
      <c r="C50" s="16">
        <v>4661.3439999999991</v>
      </c>
      <c r="D50" s="16">
        <v>4887.683</v>
      </c>
      <c r="E50" s="16">
        <v>4920.7379999999994</v>
      </c>
      <c r="F50" s="16">
        <v>5153.9579999999996</v>
      </c>
      <c r="G50" s="16">
        <v>5203.482</v>
      </c>
      <c r="H50" s="16">
        <v>4453.8310000000001</v>
      </c>
      <c r="I50" s="16">
        <v>4808.7739999999994</v>
      </c>
      <c r="J50" s="16">
        <v>5276.7080000000005</v>
      </c>
      <c r="K50" s="16">
        <v>5793.1949999999997</v>
      </c>
      <c r="L50" s="16">
        <v>5870.299</v>
      </c>
      <c r="M50" s="16">
        <v>6615.2839999999997</v>
      </c>
      <c r="N50" s="16">
        <v>8183.0070000000005</v>
      </c>
      <c r="O50" s="16">
        <v>11315.835000000001</v>
      </c>
      <c r="P50" s="16">
        <v>9760.2759999999998</v>
      </c>
      <c r="Q50" s="16">
        <v>7140.1040000000003</v>
      </c>
      <c r="R50" s="16">
        <v>6767.7190000000001</v>
      </c>
      <c r="S50" s="16">
        <v>7071.4769999999999</v>
      </c>
      <c r="T50" s="16">
        <v>7060.7160000000003</v>
      </c>
      <c r="U50" s="16">
        <v>7649.7669999999998</v>
      </c>
      <c r="V50" s="16">
        <v>7756.2140000000009</v>
      </c>
      <c r="W50" s="16">
        <v>8821.2209999999995</v>
      </c>
      <c r="X50" s="16">
        <v>8943.6790000000001</v>
      </c>
      <c r="Y50" s="16">
        <v>10111.428999999998</v>
      </c>
      <c r="Z50" s="16">
        <v>11257.525</v>
      </c>
      <c r="AA50" s="16">
        <v>12840.360999999997</v>
      </c>
      <c r="AB50" s="16">
        <v>13422.107</v>
      </c>
      <c r="AC50" s="16">
        <v>13216.186</v>
      </c>
      <c r="AD50" s="16">
        <v>16578.062999999998</v>
      </c>
      <c r="AE50" s="16">
        <v>17743.095000000001</v>
      </c>
      <c r="AF50" s="16">
        <v>17477.98</v>
      </c>
      <c r="AG50" s="16">
        <v>22019.869000000002</v>
      </c>
      <c r="AH50"/>
      <c r="AI50" s="12">
        <v>4.8556596552410829</v>
      </c>
      <c r="AJ50" s="12">
        <v>0.67629181352390044</v>
      </c>
      <c r="AK50" s="12">
        <v>4.7395329724931559</v>
      </c>
      <c r="AL50" s="12">
        <v>0.96089258003267286</v>
      </c>
      <c r="AM50" s="12">
        <v>-14.406718424316637</v>
      </c>
      <c r="AN50" s="12">
        <v>7.9693863552523503</v>
      </c>
      <c r="AO50" s="12">
        <v>9.7308378393328763</v>
      </c>
      <c r="AP50" s="12">
        <v>9.788053460604587</v>
      </c>
      <c r="AQ50" s="12">
        <v>1.3309408711427853</v>
      </c>
      <c r="AR50" s="12">
        <v>12.690750505212762</v>
      </c>
      <c r="AS50" s="12">
        <v>23.698498809726097</v>
      </c>
      <c r="AT50" s="12">
        <v>38.284557253831025</v>
      </c>
      <c r="AU50" s="12">
        <v>-13.746745158443906</v>
      </c>
      <c r="AV50" s="12">
        <v>-26.845265441264157</v>
      </c>
      <c r="AW50" s="12">
        <v>-5.2154002238622885</v>
      </c>
      <c r="AX50" s="12">
        <v>4.4883364690525687</v>
      </c>
      <c r="AY50" s="12">
        <v>-0.15217471540951788</v>
      </c>
      <c r="AZ50" s="12">
        <v>8.3426525015309991</v>
      </c>
      <c r="BA50" s="12">
        <v>1.3915064341175494</v>
      </c>
      <c r="BB50" s="12">
        <v>13.731016189083986</v>
      </c>
      <c r="BC50" s="12">
        <v>1.3882205195856736</v>
      </c>
      <c r="BD50" s="12">
        <v>13.05670742431608</v>
      </c>
      <c r="BE50" s="12">
        <v>11.33465902791783</v>
      </c>
      <c r="BF50" s="12">
        <v>14.060248589276927</v>
      </c>
      <c r="BG50" s="12">
        <v>4.5306047080763765</v>
      </c>
      <c r="BH50" s="12">
        <v>-1.5341928059432119</v>
      </c>
      <c r="BI50" s="12">
        <v>25.437573290811724</v>
      </c>
      <c r="BJ50" s="12">
        <v>7.0275520125602311</v>
      </c>
      <c r="BK50" s="12">
        <v>-1.4941868935493023</v>
      </c>
      <c r="BL50" s="12">
        <v>25.986349681141657</v>
      </c>
      <c r="BM50"/>
      <c r="BN50" s="2"/>
    </row>
    <row r="51" spans="1:66" s="15" customFormat="1">
      <c r="A51"/>
      <c r="B51" s="17" t="s">
        <v>9</v>
      </c>
      <c r="C51" s="16">
        <v>-5182.9799999999996</v>
      </c>
      <c r="D51" s="16">
        <v>-5580.9560000000001</v>
      </c>
      <c r="E51" s="16">
        <v>-6435.44</v>
      </c>
      <c r="F51" s="16">
        <v>-7322.2569999999996</v>
      </c>
      <c r="G51" s="16">
        <v>-7252.7309999999998</v>
      </c>
      <c r="H51" s="16">
        <v>-7324.8959999999997</v>
      </c>
      <c r="I51" s="16">
        <v>-7688.1109999999999</v>
      </c>
      <c r="J51" s="16">
        <v>-7980.6480000000001</v>
      </c>
      <c r="K51" s="16">
        <v>-8967.2420000000002</v>
      </c>
      <c r="L51" s="16">
        <v>-9664.0529999999999</v>
      </c>
      <c r="M51" s="16">
        <v>-10127.973000000002</v>
      </c>
      <c r="N51" s="16">
        <v>-10558.286000000002</v>
      </c>
      <c r="O51" s="16">
        <v>-11434.315000000001</v>
      </c>
      <c r="P51" s="16">
        <v>-13553.932000000001</v>
      </c>
      <c r="Q51" s="16">
        <v>-14541.852999999999</v>
      </c>
      <c r="R51" s="16">
        <v>-13698.324999999999</v>
      </c>
      <c r="S51" s="16">
        <v>-11968.391</v>
      </c>
      <c r="T51" s="16">
        <v>-11386.043</v>
      </c>
      <c r="U51" s="16">
        <v>-11805.339999999997</v>
      </c>
      <c r="V51" s="16">
        <v>-11306.641000000001</v>
      </c>
      <c r="W51" s="16">
        <v>-11428.024999999998</v>
      </c>
      <c r="X51" s="16">
        <v>-11905.549999999996</v>
      </c>
      <c r="Y51" s="16">
        <v>-11072.599000000002</v>
      </c>
      <c r="Z51" s="16">
        <v>-11197.419</v>
      </c>
      <c r="AA51" s="16">
        <v>-13055.713999999998</v>
      </c>
      <c r="AB51" s="16">
        <v>-12271.045000000004</v>
      </c>
      <c r="AC51" s="16">
        <v>-11711.929000000002</v>
      </c>
      <c r="AD51" s="16">
        <v>-11519.615000000002</v>
      </c>
      <c r="AE51" s="16">
        <v>-13201.298000000001</v>
      </c>
      <c r="AF51" s="16">
        <v>-15377.629000000001</v>
      </c>
      <c r="AG51" s="16">
        <v>-17830.474000000002</v>
      </c>
      <c r="AH51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/>
      <c r="BN51" s="2"/>
    </row>
    <row r="52" spans="1:66" s="15" customFormat="1">
      <c r="A52"/>
      <c r="B52" s="17" t="s">
        <v>8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>
        <v>423.12700000000007</v>
      </c>
      <c r="N52" s="16">
        <v>372.79699999999997</v>
      </c>
      <c r="O52" s="16">
        <v>506.274</v>
      </c>
      <c r="P52" s="16">
        <v>375.21000000000004</v>
      </c>
      <c r="Q52" s="16">
        <v>256.18600000000004</v>
      </c>
      <c r="R52" s="16">
        <v>488.69000000000005</v>
      </c>
      <c r="S52" s="16">
        <v>524.00099999999998</v>
      </c>
      <c r="T52" s="16">
        <v>427.39099999999991</v>
      </c>
      <c r="U52" s="16">
        <v>495.09700000000004</v>
      </c>
      <c r="V52" s="16">
        <v>712.75100000000009</v>
      </c>
      <c r="W52" s="16">
        <v>673.65699999999993</v>
      </c>
      <c r="X52" s="16">
        <v>805.55900000000008</v>
      </c>
      <c r="Y52" s="16">
        <v>795.22899999999993</v>
      </c>
      <c r="Z52" s="16">
        <v>886.47500000000002</v>
      </c>
      <c r="AA52" s="16">
        <v>884.11400000000003</v>
      </c>
      <c r="AB52" s="16">
        <v>615.2349999999999</v>
      </c>
      <c r="AC52" s="16">
        <v>655.20800000000008</v>
      </c>
      <c r="AD52" s="16">
        <v>723.26499999999999</v>
      </c>
      <c r="AE52" s="16">
        <v>715.54499999999996</v>
      </c>
      <c r="AF52" s="16">
        <v>556.78800000000001</v>
      </c>
      <c r="AG52" s="16">
        <v>674.66300000000012</v>
      </c>
      <c r="AH5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>
        <v>-11.89477390948819</v>
      </c>
      <c r="AT52" s="12">
        <v>35.804204432975595</v>
      </c>
      <c r="AU52" s="12">
        <v>-25.887957904217867</v>
      </c>
      <c r="AV52" s="12">
        <v>-31.721969030676149</v>
      </c>
      <c r="AW52" s="12">
        <v>90.7559351408742</v>
      </c>
      <c r="AX52" s="12">
        <v>7.2256440688370782</v>
      </c>
      <c r="AY52" s="12">
        <v>-18.436987715672313</v>
      </c>
      <c r="AZ52" s="12">
        <v>15.841699989003079</v>
      </c>
      <c r="BA52" s="12">
        <v>43.961890296244988</v>
      </c>
      <c r="BB52" s="12">
        <v>-5.4849449527254484</v>
      </c>
      <c r="BC52" s="12">
        <v>19.5799939731941</v>
      </c>
      <c r="BD52" s="12">
        <v>-1.2823393444800633</v>
      </c>
      <c r="BE52" s="12">
        <v>11.474179135821267</v>
      </c>
      <c r="BF52" s="12">
        <v>-0.2663357680701644</v>
      </c>
      <c r="BG52" s="12">
        <v>-30.412254528262206</v>
      </c>
      <c r="BH52" s="12">
        <v>6.4971921298365976</v>
      </c>
      <c r="BI52" s="12">
        <v>10.38708318579747</v>
      </c>
      <c r="BJ52" s="12">
        <v>-1.0673819416119994</v>
      </c>
      <c r="BK52" s="12">
        <v>-22.18686455778462</v>
      </c>
      <c r="BL52" s="12">
        <v>21.170535284524828</v>
      </c>
      <c r="BM52"/>
      <c r="BN52" s="2"/>
    </row>
    <row r="53" spans="1:66" s="15" customFormat="1">
      <c r="A53"/>
      <c r="B53" s="17" t="s">
        <v>7</v>
      </c>
      <c r="C53" s="16">
        <v>-113.489</v>
      </c>
      <c r="D53" s="16">
        <v>-117.462</v>
      </c>
      <c r="E53" s="16">
        <v>-120.617</v>
      </c>
      <c r="F53" s="16">
        <v>-123.18899999999999</v>
      </c>
      <c r="G53" s="16">
        <v>-125.437</v>
      </c>
      <c r="H53" s="16">
        <v>-127.92400000000001</v>
      </c>
      <c r="I53" s="16">
        <v>-130.483</v>
      </c>
      <c r="J53" s="16">
        <v>-133.09200000000001</v>
      </c>
      <c r="K53" s="16">
        <v>-135.75399999999999</v>
      </c>
      <c r="L53" s="16">
        <v>-138.46899999999999</v>
      </c>
      <c r="M53" s="16">
        <v>-141.239</v>
      </c>
      <c r="N53" s="16">
        <v>-144.01199999999997</v>
      </c>
      <c r="O53" s="16">
        <v>-152.30500000000001</v>
      </c>
      <c r="P53" s="16">
        <v>-152.76300000000001</v>
      </c>
      <c r="Q53" s="16">
        <v>-247.90700000000001</v>
      </c>
      <c r="R53" s="16">
        <v>-259.34499999999997</v>
      </c>
      <c r="S53" s="16">
        <v>-342.20399999999995</v>
      </c>
      <c r="T53" s="16">
        <v>-159.19499999999999</v>
      </c>
      <c r="U53" s="16">
        <v>-247.93599999999995</v>
      </c>
      <c r="V53" s="16">
        <v>-249.05199999999994</v>
      </c>
      <c r="W53" s="16">
        <v>-246.38099999999994</v>
      </c>
      <c r="X53" s="16">
        <v>-266.94399999999996</v>
      </c>
      <c r="Y53" s="16">
        <v>-264.89799999999997</v>
      </c>
      <c r="Z53" s="16">
        <v>-256.18200000000007</v>
      </c>
      <c r="AA53" s="16">
        <v>-272.88700000000006</v>
      </c>
      <c r="AB53" s="16">
        <v>-418.76900000000006</v>
      </c>
      <c r="AC53" s="16">
        <v>-198.71700000000001</v>
      </c>
      <c r="AD53" s="16">
        <v>-441.096</v>
      </c>
      <c r="AE53" s="16">
        <v>-208.87500000000003</v>
      </c>
      <c r="AF53" s="16">
        <v>-371.49900000000002</v>
      </c>
      <c r="AG53" s="16">
        <v>-423.45699999999994</v>
      </c>
      <c r="AH53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1"/>
      <c r="BE53" s="11"/>
      <c r="BF53" s="11"/>
      <c r="BG53" s="11"/>
      <c r="BH53" s="11"/>
      <c r="BI53" s="11"/>
      <c r="BJ53" s="11"/>
      <c r="BK53" s="11"/>
      <c r="BL53" s="11"/>
      <c r="BM53"/>
      <c r="BN53" s="2"/>
    </row>
    <row r="54" spans="1:66" ht="6" customHeight="1" thickBot="1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/>
      <c r="AI54" s="13" t="s">
        <v>6</v>
      </c>
      <c r="AJ54" s="13" t="s">
        <v>6</v>
      </c>
      <c r="AK54" s="13" t="s">
        <v>6</v>
      </c>
      <c r="AL54" s="13" t="s">
        <v>6</v>
      </c>
      <c r="AM54" s="13" t="s">
        <v>6</v>
      </c>
      <c r="AN54" s="13" t="s">
        <v>6</v>
      </c>
      <c r="AO54" s="13" t="s">
        <v>6</v>
      </c>
      <c r="AP54" s="13" t="s">
        <v>6</v>
      </c>
      <c r="AQ54" s="13" t="s">
        <v>6</v>
      </c>
      <c r="AR54" s="13" t="s">
        <v>6</v>
      </c>
      <c r="AS54" s="13" t="s">
        <v>6</v>
      </c>
      <c r="AT54" s="13" t="s">
        <v>6</v>
      </c>
      <c r="AU54" s="13" t="s">
        <v>6</v>
      </c>
      <c r="AV54" s="13" t="s">
        <v>6</v>
      </c>
      <c r="AW54" s="13" t="s">
        <v>6</v>
      </c>
      <c r="AX54" s="13" t="s">
        <v>6</v>
      </c>
      <c r="AY54" s="13" t="s">
        <v>6</v>
      </c>
      <c r="AZ54" s="13" t="s">
        <v>6</v>
      </c>
      <c r="BA54" s="13" t="s">
        <v>6</v>
      </c>
      <c r="BB54" s="13" t="s">
        <v>6</v>
      </c>
      <c r="BC54" s="13" t="s">
        <v>6</v>
      </c>
      <c r="BD54" s="13"/>
      <c r="BE54" s="13"/>
      <c r="BF54" s="13"/>
      <c r="BG54" s="13"/>
      <c r="BH54" s="13"/>
      <c r="BI54" s="13"/>
      <c r="BJ54" s="13"/>
      <c r="BK54" s="13"/>
      <c r="BL54" s="13"/>
      <c r="BM54"/>
      <c r="BN54" s="2"/>
    </row>
    <row r="55" spans="1:66" s="5" customFormat="1" ht="6" customHeight="1">
      <c r="A55"/>
      <c r="AH55"/>
      <c r="BM55"/>
    </row>
    <row r="56" spans="1:66" ht="12" customHeight="1">
      <c r="B56" s="10" t="s">
        <v>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1"/>
      <c r="BE56" s="11"/>
      <c r="BF56" s="11"/>
      <c r="BG56" s="11"/>
      <c r="BH56" s="11"/>
      <c r="BI56" s="11"/>
      <c r="BJ56" s="11"/>
      <c r="BK56" s="11"/>
      <c r="BL56" s="11"/>
      <c r="BM56"/>
      <c r="BN56" s="2"/>
    </row>
    <row r="57" spans="1:66" ht="12" customHeight="1">
      <c r="B57" s="10" t="s">
        <v>4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1"/>
      <c r="BE57" s="11"/>
      <c r="BF57" s="11"/>
      <c r="BG57" s="11"/>
      <c r="BH57" s="11"/>
      <c r="BI57" s="11"/>
      <c r="BJ57" s="11"/>
      <c r="BK57" s="11"/>
      <c r="BL57" s="11"/>
      <c r="BM57"/>
      <c r="BN57" s="2"/>
    </row>
    <row r="58" spans="1:66" s="5" customFormat="1" ht="12" customHeight="1">
      <c r="A58"/>
      <c r="B58" s="10" t="s">
        <v>3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/>
      <c r="BM58"/>
    </row>
    <row r="59" spans="1:66" s="5" customFormat="1" ht="12" customHeight="1">
      <c r="A59"/>
      <c r="B59" s="10" t="s">
        <v>2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/>
      <c r="BM59"/>
    </row>
    <row r="60" spans="1:66" s="5" customFormat="1" ht="12" customHeight="1">
      <c r="A60"/>
      <c r="B60" s="10" t="s">
        <v>1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/>
      <c r="BM60"/>
    </row>
    <row r="61" spans="1:66" s="5" customFormat="1" ht="12" customHeight="1">
      <c r="A61"/>
      <c r="B61" s="10" t="s">
        <v>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/>
      <c r="BM61"/>
    </row>
    <row r="62" spans="1:66" s="5" customFormat="1" ht="12" customHeight="1">
      <c r="A6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9"/>
      <c r="AC62" s="9"/>
      <c r="AD62" s="9"/>
      <c r="AE62" s="9"/>
      <c r="AF62" s="9"/>
      <c r="AG62" s="9"/>
      <c r="AH62"/>
      <c r="BM62"/>
    </row>
    <row r="63" spans="1:66" s="5" customFormat="1" ht="12" customHeight="1">
      <c r="A6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/>
      <c r="BM63"/>
    </row>
    <row r="64" spans="1:66" s="5" customFormat="1" ht="12" customHeight="1">
      <c r="A64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4"/>
      <c r="T64" s="4"/>
      <c r="U64" s="4"/>
      <c r="V64" s="4"/>
      <c r="W64" s="4"/>
      <c r="X64" s="4"/>
      <c r="Y64" s="4"/>
      <c r="Z64" s="4"/>
      <c r="AA64" s="4"/>
      <c r="AB64" s="3"/>
      <c r="AC64" s="3"/>
      <c r="AD64" s="3"/>
      <c r="AE64" s="3"/>
      <c r="AF64" s="3"/>
      <c r="AG64" s="3"/>
      <c r="AH64" s="6"/>
      <c r="BM64"/>
    </row>
    <row r="65" spans="2:3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4"/>
      <c r="T65" s="4"/>
      <c r="U65" s="4"/>
      <c r="V65" s="4"/>
      <c r="W65" s="4"/>
      <c r="X65" s="4"/>
      <c r="Y65" s="4"/>
      <c r="Z65" s="4"/>
      <c r="AA65" s="4"/>
      <c r="AB65" s="3"/>
      <c r="AC65" s="3"/>
      <c r="AD65" s="3"/>
      <c r="AE65" s="3"/>
      <c r="AF65" s="3"/>
      <c r="AG65" s="3"/>
      <c r="AH65" s="2"/>
    </row>
    <row r="66" spans="2:3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4"/>
      <c r="T66" s="4"/>
      <c r="U66" s="4"/>
      <c r="V66" s="4"/>
      <c r="W66" s="4"/>
      <c r="X66" s="4"/>
      <c r="Y66" s="4"/>
      <c r="Z66" s="4"/>
      <c r="AA66" s="4"/>
      <c r="AB66" s="3"/>
      <c r="AC66" s="3"/>
      <c r="AD66" s="3"/>
      <c r="AE66" s="3"/>
      <c r="AF66" s="3"/>
      <c r="AG66" s="3"/>
      <c r="AH66" s="2"/>
    </row>
    <row r="67" spans="2:3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4"/>
      <c r="T67" s="4"/>
      <c r="U67" s="4"/>
      <c r="V67" s="4"/>
      <c r="W67" s="4"/>
      <c r="X67" s="4"/>
      <c r="Y67" s="4"/>
      <c r="Z67" s="4"/>
      <c r="AA67" s="4"/>
      <c r="AB67" s="3"/>
      <c r="AC67" s="3"/>
      <c r="AD67" s="3"/>
      <c r="AE67" s="3"/>
      <c r="AF67" s="3"/>
      <c r="AG67" s="3"/>
      <c r="AH67" s="2"/>
    </row>
    <row r="68" spans="2:3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4"/>
      <c r="T68" s="4"/>
      <c r="U68" s="4"/>
      <c r="V68" s="4"/>
      <c r="W68" s="4"/>
      <c r="X68" s="4"/>
      <c r="Y68" s="4"/>
      <c r="Z68" s="4"/>
      <c r="AA68" s="4"/>
      <c r="AB68" s="3"/>
      <c r="AC68" s="3"/>
      <c r="AD68" s="3"/>
      <c r="AE68" s="3"/>
      <c r="AF68" s="3"/>
      <c r="AG68" s="3"/>
      <c r="AH68" s="2"/>
    </row>
    <row r="69" spans="2:3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2"/>
    </row>
    <row r="70" spans="2:3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4"/>
      <c r="T70" s="4"/>
      <c r="U70" s="4"/>
      <c r="V70" s="4"/>
      <c r="W70" s="4"/>
      <c r="X70" s="4"/>
      <c r="Y70" s="4"/>
      <c r="Z70" s="4"/>
      <c r="AA70" s="4"/>
      <c r="AB70" s="3"/>
      <c r="AC70" s="3"/>
      <c r="AD70" s="3"/>
      <c r="AE70" s="3"/>
      <c r="AF70" s="3"/>
      <c r="AG70" s="3"/>
      <c r="AH70" s="2"/>
    </row>
    <row r="71" spans="2:3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4"/>
      <c r="T71" s="4"/>
      <c r="U71" s="4"/>
      <c r="V71" s="4"/>
      <c r="W71" s="4"/>
      <c r="X71" s="4"/>
      <c r="Y71" s="4"/>
      <c r="Z71" s="4"/>
      <c r="AA71" s="4"/>
      <c r="AB71" s="3"/>
      <c r="AC71" s="3"/>
      <c r="AD71" s="3"/>
      <c r="AE71" s="3"/>
      <c r="AF71" s="3"/>
      <c r="AG71" s="3"/>
      <c r="AH71" s="2"/>
    </row>
  </sheetData>
  <mergeCells count="1">
    <mergeCell ref="BC5:BL5"/>
  </mergeCells>
  <conditionalFormatting sqref="S64:AG71">
    <cfRule type="cellIs" dxfId="0" priority="1" operator="notEqual">
      <formula>0</formula>
    </cfRule>
  </conditionalFormatting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2.1</vt:lpstr>
      <vt:lpstr>'2.1'!Área_de_impresión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AEAT</dc:creator>
  <dcterms:created xsi:type="dcterms:W3CDTF">2026-04-21T11:21:08Z</dcterms:created>
  <dcterms:modified xsi:type="dcterms:W3CDTF">2026-04-21T11:21:23Z</dcterms:modified>
</cp:coreProperties>
</file>